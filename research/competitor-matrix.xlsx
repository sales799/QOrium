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dex" sheetId="1" state="visible" r:id="rId3"/>
    <sheet name="Feature Matrix" sheetId="2" state="visible" r:id="rId4"/>
    <sheet name="Pricing" sheetId="3" state="visible" r:id="rId5"/>
    <sheet name="Personas" sheetId="4" state="visible" r:id="rId6"/>
    <sheet name="Risk Score" sheetId="5" state="visible" r:id="rId7"/>
    <sheet name="Roadmap Mapping" sheetId="6" state="visible" r:id="rId8"/>
    <sheet name="Source Note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<sst xmlns="http://schemas.openxmlformats.org/spreadsheetml/2006/main" count="589" uniqueCount="490">
  <si>
    <t xml:space="preserve">QOrium Competitor Matrix — Companion to /research/competitor-research.md</t>
  </si>
  <si>
    <t xml:space="preserve">Maintained by CTO Office | First entry 2026-05-03 | Constitution v2.0 §10.3 Competitive Watch</t>
  </si>
  <si>
    <t xml:space="preserve">Tab</t>
  </si>
  <si>
    <t xml:space="preserve">Purpose</t>
  </si>
  <si>
    <t xml:space="preserve">Refresh trigger</t>
  </si>
  <si>
    <t xml:space="preserve">Index</t>
  </si>
  <si>
    <t xml:space="preserve">This page — TOC + scope guard</t>
  </si>
  <si>
    <t xml:space="preserve">Each new competitor added</t>
  </si>
  <si>
    <t xml:space="preserve">Feature Matrix</t>
  </si>
  <si>
    <t xml:space="preserve">Side-by-side: Artifactum vs QOrium current vs QOrium M12 target</t>
  </si>
  <si>
    <t xml:space="preserve">Quarterly + on Watch trigger</t>
  </si>
  <si>
    <t xml:space="preserve">Pricing</t>
  </si>
  <si>
    <t xml:space="preserve">Pricing intel + QOrium tier comparison</t>
  </si>
  <si>
    <t xml:space="preserve">When competitor publishes pricing</t>
  </si>
  <si>
    <t xml:space="preserve">Personas</t>
  </si>
  <si>
    <t xml:space="preserve">Buyer-segment overlap heatmap</t>
  </si>
  <si>
    <t xml:space="preserve">When competitor names new persona</t>
  </si>
  <si>
    <t xml:space="preserve">Risk Score</t>
  </si>
  <si>
    <t xml:space="preserve">6-dim risk scoring per identified risk</t>
  </si>
  <si>
    <t xml:space="preserve">Roadmap Mapping</t>
  </si>
  <si>
    <t xml:space="preserve">Each gap-closer feature → phase/sprint/owner/effort</t>
  </si>
  <si>
    <t xml:space="preserve">Each sprint close</t>
  </si>
  <si>
    <t xml:space="preserve">Source Notes</t>
  </si>
  <si>
    <t xml:space="preserve">Source artifacts + extraction methodology</t>
  </si>
  <si>
    <t xml:space="preserve">SCOPE GUARD (CEO directive 2026-05-03):</t>
  </si>
  <si>
    <t xml:space="preserve">QOrium is a Question-Bank-as-a-Service / question-generation venture. It is NOT an assessment platform. All comparative analysis honors this scope.</t>
  </si>
  <si>
    <t xml:space="preserve">Feature Matrix — Artifactum vs QOrium</t>
  </si>
  <si>
    <t xml:space="preserve">Capability category</t>
  </si>
  <si>
    <t xml:space="preserve">Capability</t>
  </si>
  <si>
    <t xml:space="preserve">Artifactum</t>
  </si>
  <si>
    <t xml:space="preserve">QOrium today</t>
  </si>
  <si>
    <t xml:space="preserve">QOrium M12 target</t>
  </si>
  <si>
    <t xml:space="preserve">Strategic note</t>
  </si>
  <si>
    <t xml:space="preserve">PRODUCT MODEL</t>
  </si>
  <si>
    <t xml:space="preserve">SKU breadth</t>
  </si>
  <si>
    <t xml:space="preserve">1 service (question generation)</t>
  </si>
  <si>
    <t xml:space="preserve">3 SKUs (ReadyBank/JD-Forge/Stack-Vault)</t>
  </si>
  <si>
    <t xml:space="preserve">3 SKUs (+1 candidate L&amp;D)</t>
  </si>
  <si>
    <t xml:space="preserve">We sell a continuum, they sell one feature</t>
  </si>
  <si>
    <t xml:space="preserve">Pricing transparency</t>
  </si>
  <si>
    <t xml:space="preserve">Not published</t>
  </si>
  <si>
    <t xml:space="preserve">3 SKUs × tiered bands published</t>
  </si>
  <si>
    <t xml:space="preserve">Same + market benchmarks</t>
  </si>
  <si>
    <t xml:space="preserve">Reduces sales friction</t>
  </si>
  <si>
    <t xml:space="preserve">Customer-exclusive IP tier</t>
  </si>
  <si>
    <t xml:space="preserve">Siloed env claim — no contractual exclusivity model</t>
  </si>
  <si>
    <t xml:space="preserve">Stack-Vault tier designed</t>
  </si>
  <si>
    <t xml:space="preserve">Stack-Vault operational + watermarked</t>
  </si>
  <si>
    <t xml:space="preserve">Wins large GCC/IT-svcs deals</t>
  </si>
  <si>
    <t xml:space="preserve">PSYCHOMETRICS</t>
  </si>
  <si>
    <t xml:space="preserve">Difficulty calibration method</t>
  </si>
  <si>
    <t xml:space="preserve">Bloom's taxonomy only</t>
  </si>
  <si>
    <t xml:space="preserve">IRT mandated (SO-21)</t>
  </si>
  <si>
    <t xml:space="preserve">IRT operational + Bloom's tags</t>
  </si>
  <si>
    <t xml:space="preserve">Bloom's = teacher-set; IRT = data-driven; we ship both</t>
  </si>
  <si>
    <t xml:space="preserve">Reference Panel for IRT</t>
  </si>
  <si>
    <t xml:space="preserve">Not mentioned</t>
  </si>
  <si>
    <t xml:space="preserve">Designed (Constitutional Amendment v2.1)</t>
  </si>
  <si>
    <t xml:space="preserve">1,000+ panel members + fairness-audited</t>
  </si>
  <si>
    <t xml:space="preserve">Required for IRT validity at scale</t>
  </si>
  <si>
    <t xml:space="preserve">Public IRT calibration disclosure</t>
  </si>
  <si>
    <t xml:space="preserve">Planned M4</t>
  </si>
  <si>
    <t xml:space="preserve">Quarterly published per skill pool</t>
  </si>
  <si>
    <t xml:space="preserve">Falsifiable beats marketing</t>
  </si>
  <si>
    <t xml:space="preserve">Bias detection methodology</t>
  </si>
  <si>
    <t xml:space="preserve">Methodology v1 designed</t>
  </si>
  <si>
    <t xml:space="preserve">v1 operational + audited</t>
  </si>
  <si>
    <t xml:space="preserve">EEOC / UK Equality Act high-stakes hiring requirement</t>
  </si>
  <si>
    <t xml:space="preserve">I/O Psych validation pathway</t>
  </si>
  <si>
    <t xml:space="preserve">Generic 'psychometrically structured' claim</t>
  </si>
  <si>
    <t xml:space="preserve">Article IX M9 mandate</t>
  </si>
  <si>
    <t xml:space="preserve">Mandatory pre-customer-release sign-off</t>
  </si>
  <si>
    <t xml:space="preserve">Defensible under regulatory scrutiny</t>
  </si>
  <si>
    <t xml:space="preserve">CONTENT INTEGRITY</t>
  </si>
  <si>
    <t xml:space="preserve">Anti-Leak Engine</t>
  </si>
  <si>
    <t xml:space="preserve">Not mentioned (claims 'fresh')</t>
  </si>
  <si>
    <t xml:space="preserve">v0 designed (SO-22)</t>
  </si>
  <si>
    <t xml:space="preserve">v1 operational with 24-72h tier SLAs</t>
  </si>
  <si>
    <t xml:space="preserve">Half-life of 'fresh' is 6-9 months without rotation</t>
  </si>
  <si>
    <t xml:space="preserve">Public AI plagiarism benchmark (≥93%)</t>
  </si>
  <si>
    <t xml:space="preserve">Planned M2-M3 (SO-22 v2.0)</t>
  </si>
  <si>
    <t xml:space="preserve">Quarterly published</t>
  </si>
  <si>
    <t xml:space="preserve">Defensible buyer-trust artifact</t>
  </si>
  <si>
    <t xml:space="preserve">Watermarking + forensic attribution</t>
  </si>
  <si>
    <t xml:space="preserve">Designed</t>
  </si>
  <si>
    <t xml:space="preserve">Stack-Vault default</t>
  </si>
  <si>
    <t xml:space="preserve">Premium pricing differentiator</t>
  </si>
  <si>
    <t xml:space="preserve">Source-grounding (RAG)</t>
  </si>
  <si>
    <t xml:space="preserve">Headlined ('grounded in your source docs')</t>
  </si>
  <si>
    <t xml:space="preserve">In pipeline; under-marketed</t>
  </si>
  <si>
    <t xml:space="preserve">First-class marketing language</t>
  </si>
  <si>
    <t xml:space="preserve">Adopt their framing without changing pipeline</t>
  </si>
  <si>
    <t xml:space="preserve">CONTENT BREADTH</t>
  </si>
  <si>
    <t xml:space="preserve">Programming-language coverage</t>
  </si>
  <si>
    <t xml:space="preserve">Generic 'coding' (no list shown)</t>
  </si>
  <si>
    <t xml:space="preserve">Wave 1: Java/React/SQL/DevOps/SF/Python/AWS/AIPE</t>
  </si>
  <si>
    <t xml:space="preserve">Wave 1+2 (5K+ Qs); India-stack depth</t>
  </si>
  <si>
    <t xml:space="preserve">GCC differentiator</t>
  </si>
  <si>
    <t xml:space="preserve">India-stack domains (SAP/Oracle/CPQ/Finacle/Embedded)</t>
  </si>
  <si>
    <t xml:space="preserve">Not visible</t>
  </si>
  <si>
    <t xml:space="preserve">Wave 2 v0.6 — 5 domains × 40+ Qs</t>
  </si>
  <si>
    <t xml:space="preserve">Wave 2 production scale</t>
  </si>
  <si>
    <t xml:space="preserve">GCC + IT-services beachhead</t>
  </si>
  <si>
    <t xml:space="preserve">NOS / NSDC / Sector Skill Council mapping</t>
  </si>
  <si>
    <t xml:space="preserve">Headlined as core feature</t>
  </si>
  <si>
    <t xml:space="preserve">Not yet (planned Sprint 1.7)</t>
  </si>
  <si>
    <t xml:space="preserve">Operational across IT-ITeS SSC</t>
  </si>
  <si>
    <t xml:space="preserve">Counter their vocational positioning fast</t>
  </si>
  <si>
    <t xml:space="preserve">Cross-lingual / regional language</t>
  </si>
  <si>
    <t xml:space="preserve">Headlined ('not translation, transposition')</t>
  </si>
  <si>
    <t xml:space="preserve">Stack-Vault add-on (+30%)</t>
  </si>
  <si>
    <t xml:space="preserve">First-class + recalibrated per language</t>
  </si>
  <si>
    <t xml:space="preserve">Promote to first-class capability</t>
  </si>
  <si>
    <t xml:space="preserve">L&amp;D / internal-mobility content</t>
  </si>
  <si>
    <t xml:space="preserve">Headlined ('Learning' surface)</t>
  </si>
  <si>
    <t xml:space="preserve">Not yet — adjacency</t>
  </si>
  <si>
    <t xml:space="preserve">MANTHAN gated — possible SKU 4</t>
  </si>
  <si>
    <t xml:space="preserve">M6 IdeaForge gate decision</t>
  </si>
  <si>
    <t xml:space="preserve">Higher Ed content</t>
  </si>
  <si>
    <t xml:space="preserve">Named buyer</t>
  </si>
  <si>
    <t xml:space="preserve">3 IIT/top-univ pilots by M6</t>
  </si>
  <si>
    <t xml:space="preserve">Beachhead validation</t>
  </si>
  <si>
    <t xml:space="preserve">DELIVERY</t>
  </si>
  <si>
    <t xml:space="preserve">REST API</t>
  </si>
  <si>
    <t xml:space="preserve">Not visible (UI-led)</t>
  </si>
  <si>
    <t xml:space="preserve">Spec'd (CTO Architecture v1)</t>
  </si>
  <si>
    <t xml:space="preserve">GA M5-M7</t>
  </si>
  <si>
    <t xml:space="preserve">Tier-1 platforms only buy via API</t>
  </si>
  <si>
    <t xml:space="preserve">Bulk export (CSV/JSON)</t>
  </si>
  <si>
    <t xml:space="preserve">Vague 'integrate into your system'</t>
  </si>
  <si>
    <t xml:space="preserve">Operational</t>
  </si>
  <si>
    <t xml:space="preserve">Required for staffing-firm subscriptions</t>
  </si>
  <si>
    <t xml:space="preserve">Embedded widget</t>
  </si>
  <si>
    <t xml:space="preserve">Recruiter / boutique distribution</t>
  </si>
  <si>
    <t xml:space="preserve">White-label / private namespace</t>
  </si>
  <si>
    <t xml:space="preserve">Siloed env (informal)</t>
  </si>
  <si>
    <t xml:space="preserve">Operational with per-customer subdomain</t>
  </si>
  <si>
    <t xml:space="preserve">Enterprise-grade lock-in</t>
  </si>
  <si>
    <t xml:space="preserve">ATS connectors (Greenhouse/Lever/Workday)</t>
  </si>
  <si>
    <t xml:space="preserve">Framework v0 spec'd</t>
  </si>
  <si>
    <t xml:space="preserve">3+ ATS integrations live</t>
  </si>
  <si>
    <t xml:space="preserve">Deal accelerator vs Artifactum</t>
  </si>
  <si>
    <t xml:space="preserve">Webhooks for events</t>
  </si>
  <si>
    <t xml:space="preserve">Spec'd</t>
  </si>
  <si>
    <t xml:space="preserve">Required for platform integrations</t>
  </si>
  <si>
    <t xml:space="preserve">ENTERPRISE READINESS</t>
  </si>
  <si>
    <t xml:space="preserve">SSO / SAML</t>
  </si>
  <si>
    <t xml:space="preserve">Spec'd (SSO-SAML-Enterprise-Spec-v0)</t>
  </si>
  <si>
    <t xml:space="preserve">GCC procurement gate</t>
  </si>
  <si>
    <t xml:space="preserve">Audit Log API (customer-pullable)</t>
  </si>
  <si>
    <t xml:space="preserve">Generic UI audit-trail</t>
  </si>
  <si>
    <t xml:space="preserve">Spec'd (Audit-Log-API-Spec-v0)</t>
  </si>
  <si>
    <t xml:space="preserve">Procurement requirement</t>
  </si>
  <si>
    <t xml:space="preserve">DPA / GDPR / DPDPA posture</t>
  </si>
  <si>
    <t xml:space="preserve">Generic 'data never leaves env'</t>
  </si>
  <si>
    <t xml:space="preserve">Templates v0.1 (A6 MSA + A7 DPA)</t>
  </si>
  <si>
    <t xml:space="preserve">IP-counsel-reviewed + signed</t>
  </si>
  <si>
    <t xml:space="preserve">Required for India + EU enterprise</t>
  </si>
  <si>
    <t xml:space="preserve">Sandbox code execution (Judge0)</t>
  </si>
  <si>
    <t xml:space="preserve">Required for code-question quality</t>
  </si>
  <si>
    <t xml:space="preserve">PROOF / TRUST</t>
  </si>
  <si>
    <t xml:space="preserve">Customer Zero (real production usage)</t>
  </si>
  <si>
    <t xml:space="preserve">Talpro India = Customer Zero from Day 1</t>
  </si>
  <si>
    <t xml:space="preserve">Compounding proof + case studies</t>
  </si>
  <si>
    <t xml:space="preserve">Asymmetric trust artifact</t>
  </si>
  <si>
    <t xml:space="preserve">Public quality gate (scored, auto-fail)</t>
  </si>
  <si>
    <t xml:space="preserve">Generic claims</t>
  </si>
  <si>
    <t xml:space="preserve">92-pt Quality Gate (Article VII)</t>
  </si>
  <si>
    <t xml:space="preserve">Per-release gate score published</t>
  </si>
  <si>
    <t xml:space="preserve">Falsifiable quality wins procurement</t>
  </si>
  <si>
    <t xml:space="preserve">Constitutional governance (multi-office)</t>
  </si>
  <si>
    <t xml:space="preserve">Not visible (likely founder-led)</t>
  </si>
  <si>
    <t xml:space="preserve">v2.0 ratified (7 offices, 25 SOs, 5-lock state)</t>
  </si>
  <si>
    <t xml:space="preserve">v3.0 + I/O Psych FTE seated</t>
  </si>
  <si>
    <t xml:space="preserve">Operational durability for investors + Tier-1 deals</t>
  </si>
  <si>
    <t xml:space="preserve">Pricing anchors public</t>
  </si>
  <si>
    <t xml:space="preserve">No public pricing</t>
  </si>
  <si>
    <t xml:space="preserve">Doc 5 SKU pricing + sales pricing pages</t>
  </si>
  <si>
    <t xml:space="preserve">Confidence signal</t>
  </si>
  <si>
    <t xml:space="preserve">SALES MOTION</t>
  </si>
  <si>
    <t xml:space="preserve">5-min live demo (your JD → our pack)</t>
  </si>
  <si>
    <t xml:space="preserve">Headlined CTA</t>
  </si>
  <si>
    <t xml:space="preserve">Not packaged (planned 0.9)</t>
  </si>
  <si>
    <t xml:space="preserve">Bali default motion</t>
  </si>
  <si>
    <t xml:space="preserve">Immediate gap-close</t>
  </si>
  <si>
    <t xml:space="preserve">Founder-led India distribution moat</t>
  </si>
  <si>
    <t xml:space="preserve">Unknown</t>
  </si>
  <si>
    <t xml:space="preserve">Talpro 15-yr IT staffing relationships</t>
  </si>
  <si>
    <t xml:space="preserve">Plus AE/BD per Bali playbook</t>
  </si>
  <si>
    <t xml:space="preserve">Distribution &gt; product in early enterprise</t>
  </si>
  <si>
    <t xml:space="preserve">Vocational/NSDC partnership pipeline</t>
  </si>
  <si>
    <t xml:space="preserve">Strongly positioned</t>
  </si>
  <si>
    <t xml:space="preserve">Not yet</t>
  </si>
  <si>
    <t xml:space="preserve">Pilot with 1 SSC by M6</t>
  </si>
  <si>
    <t xml:space="preserve">Counter their head start</t>
  </si>
  <si>
    <t xml:space="preserve">Pricing Intelligence — Artifactum vs QOrium SKU bands</t>
  </si>
  <si>
    <t xml:space="preserve">Artifactum publishes no pricing as of 2026-05-03. QOrium pricing per Doc 5 §2.4, §3.4, §4.4.</t>
  </si>
  <si>
    <t xml:space="preserve">Buyer segment</t>
  </si>
  <si>
    <t xml:space="preserve">QOrium SKU + tier</t>
  </si>
  <si>
    <t xml:space="preserve">QOrium price</t>
  </si>
  <si>
    <t xml:space="preserve">Artifactum equivalent (inferred)</t>
  </si>
  <si>
    <t xml:space="preserve">Tier-1 Platforms (Mettl/HackerRank class)</t>
  </si>
  <si>
    <t xml:space="preserve">ReadyBank Starter</t>
  </si>
  <si>
    <t xml:space="preserve">$50,000/yr</t>
  </si>
  <si>
    <t xml:space="preserve">Unknown — no API tier visible</t>
  </si>
  <si>
    <t xml:space="preserve">Anchor pricing first; force them to react</t>
  </si>
  <si>
    <t xml:space="preserve">Tier-1 Platforms</t>
  </si>
  <si>
    <t xml:space="preserve">ReadyBank Growth</t>
  </si>
  <si>
    <t xml:space="preserve">$150,000/yr</t>
  </si>
  <si>
    <t xml:space="preserve">Mid-tier — most likely landing zone</t>
  </si>
  <si>
    <t xml:space="preserve">ReadyBank Enterprise</t>
  </si>
  <si>
    <t xml:space="preserve">$500,000+/yr</t>
  </si>
  <si>
    <t xml:space="preserve">Continuous anti-leak — defensible premium</t>
  </si>
  <si>
    <t xml:space="preserve">Enterprises / GCCs</t>
  </si>
  <si>
    <t xml:space="preserve">Stack-Vault Department</t>
  </si>
  <si>
    <t xml:space="preserve">₹10L/yr (~$12K)</t>
  </si>
  <si>
    <t xml:space="preserve">Unknown — likely engagement-priced</t>
  </si>
  <si>
    <t xml:space="preserve">Entry tier for new GCC pilot</t>
  </si>
  <si>
    <t xml:space="preserve">Stack-Vault Enterprise</t>
  </si>
  <si>
    <t xml:space="preserve">₹40L/yr (~$48K)</t>
  </si>
  <si>
    <t xml:space="preserve">Bosch GCC anchor</t>
  </si>
  <si>
    <t xml:space="preserve">Stack-Vault Group</t>
  </si>
  <si>
    <t xml:space="preserve">₹1Cr+/yr (~$120K+)</t>
  </si>
  <si>
    <t xml:space="preserve">TCS/Infosys/Wipro tier</t>
  </si>
  <si>
    <t xml:space="preserve">Enterprises (mid-vol JD)</t>
  </si>
  <si>
    <t xml:space="preserve">JD-Forge Standard (AI-only)</t>
  </si>
  <si>
    <t xml:space="preserve">$49 / ₹3,999 per JD</t>
  </si>
  <si>
    <t xml:space="preserve">Unknown — likely similar per-engagement</t>
  </si>
  <si>
    <t xml:space="preserve">Per-JD pricing matches Artifactum probable model</t>
  </si>
  <si>
    <t xml:space="preserve">JD-Forge Reviewed (AI+SME)</t>
  </si>
  <si>
    <t xml:space="preserve">$199 / ₹15,999 per JD</t>
  </si>
  <si>
    <t xml:space="preserve">Premium tier — SME differentiator</t>
  </si>
  <si>
    <t xml:space="preserve">Enterprises (high-stakes)</t>
  </si>
  <si>
    <t xml:space="preserve">JD-Forge Enterprise (IP-protected)</t>
  </si>
  <si>
    <t xml:space="preserve">$499 / ₹39,999 per JD</t>
  </si>
  <si>
    <t xml:space="preserve">IP guarantee — Artifactum has no equivalent contract</t>
  </si>
  <si>
    <t xml:space="preserve">Staffing firms (Talpro tier)</t>
  </si>
  <si>
    <t xml:space="preserve">ReadyBank Solo (recruiter)</t>
  </si>
  <si>
    <t xml:space="preserve">₹4,999/mo</t>
  </si>
  <si>
    <t xml:space="preserve">Unknown — no recruiter tier visible</t>
  </si>
  <si>
    <t xml:space="preserve">Volume-priced wedge Artifactum cannot match easily</t>
  </si>
  <si>
    <t xml:space="preserve">Staffing firms</t>
  </si>
  <si>
    <t xml:space="preserve">ReadyBank Team</t>
  </si>
  <si>
    <t xml:space="preserve">₹14,999/mo</t>
  </si>
  <si>
    <t xml:space="preserve">Sweet spot for boutique staffing</t>
  </si>
  <si>
    <t xml:space="preserve">ReadyBank Agency</t>
  </si>
  <si>
    <t xml:space="preserve">₹49,999/mo</t>
  </si>
  <si>
    <t xml:space="preserve">Larger firms; API + Widget bundle</t>
  </si>
  <si>
    <t xml:space="preserve">Mid-market enterprise (one-time)</t>
  </si>
  <si>
    <t xml:space="preserve">ReadyBank 5-role pack</t>
  </si>
  <si>
    <t xml:space="preserve">₹3,00,000 one-time</t>
  </si>
  <si>
    <t xml:space="preserve">Lower commitment entry point</t>
  </si>
  <si>
    <t xml:space="preserve">Vocational / NSDC / SSC</t>
  </si>
  <si>
    <t xml:space="preserve">(NEW SKU candidate — Sprint 1.7)</t>
  </si>
  <si>
    <t xml:space="preserve">TBD M3 IdeaForge gate</t>
  </si>
  <si>
    <t xml:space="preserve">Likely engagement-priced</t>
  </si>
  <si>
    <t xml:space="preserve">Counter their NSDC positioning</t>
  </si>
  <si>
    <t xml:space="preserve">Higher Ed / universities</t>
  </si>
  <si>
    <t xml:space="preserve">(NEW SKU candidate — Sprint 2.x)</t>
  </si>
  <si>
    <t xml:space="preserve">TBD M6 IdeaForge gate</t>
  </si>
  <si>
    <t xml:space="preserve">Unknown — likely per-program</t>
  </si>
  <si>
    <t xml:space="preserve">Academic year revenue cycle</t>
  </si>
  <si>
    <t xml:space="preserve">Buyer Persona Overlap — Artifactum vs QOrium</t>
  </si>
  <si>
    <t xml:space="preserve">● Primary  ◐ Secondary  ○ Not addressed</t>
  </si>
  <si>
    <t xml:space="preserve">Persona</t>
  </si>
  <si>
    <t xml:space="preserve">Artifactum coverage</t>
  </si>
  <si>
    <t xml:space="preserve">QOrium SKU fit</t>
  </si>
  <si>
    <t xml:space="preserve">Strategic action</t>
  </si>
  <si>
    <t xml:space="preserve">Win condition</t>
  </si>
  <si>
    <t xml:space="preserve">Hiring teams (corporate TA)</t>
  </si>
  <si>
    <t xml:space="preserve">● (named)</t>
  </si>
  <si>
    <t xml:space="preserve">● ReadyBank + JD-Forge</t>
  </si>
  <si>
    <t xml:space="preserve">Match their demo + lead with Customer Zero proof</t>
  </si>
  <si>
    <t xml:space="preserve">5-min live demo with real Talpro candidate flow</t>
  </si>
  <si>
    <t xml:space="preserve">L&amp;D teams</t>
  </si>
  <si>
    <t xml:space="preserve">◐ Adjacent — SKU 4 candidate</t>
  </si>
  <si>
    <t xml:space="preserve">MANTHAN session M5; IdeaForge gate M6</t>
  </si>
  <si>
    <t xml:space="preserve">If gate PROCEEDS, ship L&amp;D variant Q3</t>
  </si>
  <si>
    <t xml:space="preserve">Vocational assessment providers (NSDC, SSCs)</t>
  </si>
  <si>
    <t xml:space="preserve">● (HEAVILY named — NOS codes shown)</t>
  </si>
  <si>
    <t xml:space="preserve">○ Not yet addressed</t>
  </si>
  <si>
    <t xml:space="preserve">URGENT — Sprint 1.7 NSDC/NOS mapping pilot</t>
  </si>
  <si>
    <t xml:space="preserve">1 SSC partnership signed by M6</t>
  </si>
  <si>
    <t xml:space="preserve">Internal mobility &amp; succession</t>
  </si>
  <si>
    <t xml:space="preserve">◐ Stack-Vault adjacent</t>
  </si>
  <si>
    <t xml:space="preserve">Position Stack-Vault as internal-mobility enabler</t>
  </si>
  <si>
    <t xml:space="preserve">Bosch GCC includes internal-mobility use case</t>
  </si>
  <si>
    <t xml:space="preserve">Higher education / universities</t>
  </si>
  <si>
    <t xml:space="preserve">Beachhead with 3 IIT or top-private univ pilots by M6</t>
  </si>
  <si>
    <t xml:space="preserve">1 paid pilot per quarter from M6</t>
  </si>
  <si>
    <t xml:space="preserve">Assessment bodies (NCVET, NSDC, SSC certifying)</t>
  </si>
  <si>
    <t xml:space="preserve">Bali outbound to NSDC + IT-ITeS SSC by M3</t>
  </si>
  <si>
    <t xml:space="preserve">1 named relationship by M6</t>
  </si>
  <si>
    <t xml:space="preserve">Tier-1 assessment platforms (Mettl/HackerRank/etc.)</t>
  </si>
  <si>
    <t xml:space="preserve">○ Not addressed (no API tier visible)</t>
  </si>
  <si>
    <t xml:space="preserve">● ReadyBank API (Buyer A)</t>
  </si>
  <si>
    <t xml:space="preserve">Press the API-only buyer segment Artifactum cannot serve</t>
  </si>
  <si>
    <t xml:space="preserve">1 platform in pilot by M6, 3 by M12</t>
  </si>
  <si>
    <t xml:space="preserve">GCCs (Bosch/Siemens/JPMC etc.)</t>
  </si>
  <si>
    <t xml:space="preserve">○ Not specifically named</t>
  </si>
  <si>
    <t xml:space="preserve">● Stack-Vault flagship</t>
  </si>
  <si>
    <t xml:space="preserve">Lock Bosch GCC as Logo #1; press release</t>
  </si>
  <si>
    <t xml:space="preserve">₹40L+/yr deal closed by M5</t>
  </si>
  <si>
    <t xml:space="preserve">IT services majors (TCS/Infosys/Wipro/HCL)</t>
  </si>
  <si>
    <t xml:space="preserve">● Stack-Vault Group tier</t>
  </si>
  <si>
    <t xml:space="preserve">Founder-led discovery; long sales cycle</t>
  </si>
  <si>
    <t xml:space="preserve">1 pilot scope agreed by M9</t>
  </si>
  <si>
    <t xml:space="preserve">Staffing firms (Talpro tier + boutique)</t>
  </si>
  <si>
    <t xml:space="preserve">○ Not addressed (no recruiter tier visible)</t>
  </si>
  <si>
    <t xml:space="preserve">● ReadyBank Recruiter + JD-Forge per-JD</t>
  </si>
  <si>
    <t xml:space="preserve">Talpro Customer Zero + 30 staffing-firm logos plan</t>
  </si>
  <si>
    <t xml:space="preserve">30 paying staffing firms by M12</t>
  </si>
  <si>
    <t xml:space="preserve">BFSI majors (HDFC/ICICI/Axis/JPMC India)</t>
  </si>
  <si>
    <t xml:space="preserve">● Stack-Vault BFSI variant</t>
  </si>
  <si>
    <t xml:space="preserve">Domain-specific Stack-Vault pitch using Wave 2 Finacle/Flexcube content</t>
  </si>
  <si>
    <t xml:space="preserve">1 BFSI pilot scope agreed by M9</t>
  </si>
  <si>
    <t xml:space="preserve">Competitive Risk Scoring — Artifactum</t>
  </si>
  <si>
    <t xml:space="preserve">Score 1-5 per dimension. Severity = SUM. Mitigation column links to Roadmap Mapping tab.</t>
  </si>
  <si>
    <t xml:space="preserve">#</t>
  </si>
  <si>
    <t xml:space="preserve">Risk</t>
  </si>
  <si>
    <t xml:space="preserve">Likelihood (1-5)</t>
  </si>
  <si>
    <t xml:space="preserve">Time-to-impact (1-5)</t>
  </si>
  <si>
    <t xml:space="preserve">Revenue impact (1-5)</t>
  </si>
  <si>
    <t xml:space="preserve">Reputational (1-5)</t>
  </si>
  <si>
    <t xml:space="preserve">Defensibility erosion (1-5)</t>
  </si>
  <si>
    <t xml:space="preserve">Severity (sum)</t>
  </si>
  <si>
    <t xml:space="preserve">Mitigation</t>
  </si>
  <si>
    <t xml:space="preserve">Vocational/NSDC mindshare lock-in (Artifactum signs SSC partnership before us)</t>
  </si>
  <si>
    <t xml:space="preserve">Brand confusion (Artifactum vs QOrium SEO collision)</t>
  </si>
  <si>
    <t xml:space="preserve">Pricing race-to-bottom (Artifactum publishes aggressive India pricing first)</t>
  </si>
  <si>
    <t xml:space="preserve">Investor pattern-match (sees Artifactum first, dismisses QOrium as 'another one')</t>
  </si>
  <si>
    <t xml:space="preserve">Talent/SME hiring competition (same I/O psych + SME contractors)</t>
  </si>
  <si>
    <t xml:space="preserve">Artifactum acquired by HR-tech roll-up before market is established</t>
  </si>
  <si>
    <t xml:space="preserve">Artifactum publishes a benchmark/study before we do</t>
  </si>
  <si>
    <t xml:space="preserve">Artifactum lands Tier-1 platform deal we wanted</t>
  </si>
  <si>
    <t xml:space="preserve">Artifactum's translation/transposition story crowds out our cross-lingual position</t>
  </si>
  <si>
    <t xml:space="preserve">Customer demands feature parity (Artifactum's 3 surfaces — Vocational/Hiring/Learning)</t>
  </si>
  <si>
    <t xml:space="preserve">Gap-Closer Features — Mapped to QOrium Phases</t>
  </si>
  <si>
    <t xml:space="preserve">Phase</t>
  </si>
  <si>
    <t xml:space="preserve">Sprint (proposed)</t>
  </si>
  <si>
    <t xml:space="preserve">Feature</t>
  </si>
  <si>
    <t xml:space="preserve">Why (driver from Artifactum analysis)</t>
  </si>
  <si>
    <t xml:space="preserve">Effort</t>
  </si>
  <si>
    <t xml:space="preserve">Owner</t>
  </si>
  <si>
    <t xml:space="preserve">Done-when</t>
  </si>
  <si>
    <t xml:space="preserve">Phase 0</t>
  </si>
  <si>
    <t xml:space="preserve">Sprint 0.8 (existing)</t>
  </si>
  <si>
    <t xml:space="preserve">Promote 'RAG-grounding' + 'Bloom's + IRT' language in CEO deck</t>
  </si>
  <si>
    <t xml:space="preserve">Adopt buyer-recognized framing without changing pipeline</t>
  </si>
  <si>
    <t xml:space="preserve">0.5 day</t>
  </si>
  <si>
    <t xml:space="preserve">CEO Office + CTO</t>
  </si>
  <si>
    <t xml:space="preserve">Slide deck v1.1 ratified</t>
  </si>
  <si>
    <t xml:space="preserve">Elevate cross-lingual / transposition to first-class capability</t>
  </si>
  <si>
    <t xml:space="preserve">Match Artifactum's translation positioning</t>
  </si>
  <si>
    <t xml:space="preserve">CTO Office</t>
  </si>
  <si>
    <t xml:space="preserve">Deck slide added; sales page updated</t>
  </si>
  <si>
    <t xml:space="preserve">NEW Sprint 0.9</t>
  </si>
  <si>
    <t xml:space="preserve">5-minute 'Your JD → Our Pack' live demo packaged for Bali</t>
  </si>
  <si>
    <t xml:space="preserve">Match Artifactum's primary sales motion + leverage Customer Zero</t>
  </si>
  <si>
    <t xml:space="preserve">3 days</t>
  </si>
  <si>
    <t xml:space="preserve">CTO + Bali</t>
  </si>
  <si>
    <t xml:space="preserve">Demo script + recording + AE/BD onboarding doc shipped</t>
  </si>
  <si>
    <t xml:space="preserve">Phase 1 (M1-M3)</t>
  </si>
  <si>
    <t xml:space="preserve">NEW Sprint 1.5</t>
  </si>
  <si>
    <t xml:space="preserve">JD-Forge v1 with polished UI (role-profile + topic editor + generate)</t>
  </si>
  <si>
    <t xml:space="preserve">Visible equal-or-better demo Artifactum sells against</t>
  </si>
  <si>
    <t xml:space="preserve">3-4 weeks</t>
  </si>
  <si>
    <t xml:space="preserve">CTO + Senior Engineer (C1)</t>
  </si>
  <si>
    <t xml:space="preserve">Live UI; 60-sec generation SLA; 5 demo videos</t>
  </si>
  <si>
    <t xml:space="preserve">Phase 1</t>
  </si>
  <si>
    <t xml:space="preserve">NEW Sprint 1.6</t>
  </si>
  <si>
    <t xml:space="preserve">Public Anti-Leak Benchmark Report v0 (Java+Python+React, 200 Qs each)</t>
  </si>
  <si>
    <t xml:space="preserve">WEDGE A — convert SO-22 into market-defining content</t>
  </si>
  <si>
    <t xml:space="preserve">1 week</t>
  </si>
  <si>
    <t xml:space="preserve">CDO + CTO</t>
  </si>
  <si>
    <t xml:space="preserve">Report published; press release; LinkedIn drumbeat</t>
  </si>
  <si>
    <t xml:space="preserve">NEW Sprint 1.7</t>
  </si>
  <si>
    <t xml:space="preserve">NSDC / NOS code mapping pilot for ReadyBank IT-ITeS SSC</t>
  </si>
  <si>
    <t xml:space="preserve">Counter Artifactum's vocational positioning before they lock NSDC</t>
  </si>
  <si>
    <t xml:space="preserve">2 weeks</t>
  </si>
  <si>
    <t xml:space="preserve">CDO + SME Lead (C2)</t>
  </si>
  <si>
    <t xml:space="preserve">630 v0.6 Qs tagged with NOS codes + mapped to PCs</t>
  </si>
  <si>
    <t xml:space="preserve">NEW Sprint 1.7 (parallel)</t>
  </si>
  <si>
    <t xml:space="preserve">Bloom's taxonomy mapping added to ReadyBank tags (alongside IRT)</t>
  </si>
  <si>
    <t xml:space="preserve">Buyer-friendly difficulty language for L&amp;D / vocational buyers</t>
  </si>
  <si>
    <t xml:space="preserve">CDO</t>
  </si>
  <si>
    <t xml:space="preserve">All 630 Qs tagged; UI surface in dashboard</t>
  </si>
  <si>
    <t xml:space="preserve">Phase 2 (M4-M6)</t>
  </si>
  <si>
    <t xml:space="preserve">NEW Sprint 2.1</t>
  </si>
  <si>
    <t xml:space="preserve">L&amp;D / Internal-Mobility SKU candidate (MANTHAN + IdeaForge gate)</t>
  </si>
  <si>
    <t xml:space="preserve">Artifactum's 'Learning' surface is real adjacent market</t>
  </si>
  <si>
    <t xml:space="preserve">MANTHAN session + gate; if PROCEED, 4-6 wk build</t>
  </si>
  <si>
    <t xml:space="preserve">MANTHAN → CTO</t>
  </si>
  <si>
    <t xml:space="preserve">Gate score recorded; if PROCEED, MVP shipped</t>
  </si>
  <si>
    <t xml:space="preserve">Phase 2</t>
  </si>
  <si>
    <t xml:space="preserve">NEW Sprint 2.2</t>
  </si>
  <si>
    <t xml:space="preserve">Higher-Ed beachhead validation (3 IIT/top-univ pilots)</t>
  </si>
  <si>
    <t xml:space="preserve">Counter Artifactum's higher-ed positioning</t>
  </si>
  <si>
    <t xml:space="preserve">Bali discovery + 3 paid pilots</t>
  </si>
  <si>
    <t xml:space="preserve">CEO + Bali</t>
  </si>
  <si>
    <t xml:space="preserve">NEW Sprint 2.3</t>
  </si>
  <si>
    <t xml:space="preserve">IRT Calibration Public Disclosure v0 (quarterly stats per skill)</t>
  </si>
  <si>
    <t xml:space="preserve">WEDGE B — falsifiable psychometric claim</t>
  </si>
  <si>
    <t xml:space="preserve">CDO + I/O Psych (C5)</t>
  </si>
  <si>
    <t xml:space="preserve">Report published; format adopted as quarterly cadence</t>
  </si>
  <si>
    <t xml:space="preserve">NEW Sprint 2.4</t>
  </si>
  <si>
    <t xml:space="preserve">Cross-lingual recalibration pipeline (not just translation)</t>
  </si>
  <si>
    <t xml:space="preserve">Match Artifactum's transposition claim with real recalibration</t>
  </si>
  <si>
    <t xml:space="preserve">3 weeks</t>
  </si>
  <si>
    <t xml:space="preserve">CTO + CDO + I/O Psych</t>
  </si>
  <si>
    <t xml:space="preserve">Pipeline validates IRT params per language target</t>
  </si>
  <si>
    <t xml:space="preserve">NEW Sprint 2.5</t>
  </si>
  <si>
    <t xml:space="preserve">Stack-Vault Logo #1 closure (Bosch GCC) + watermarked deliverable + press release</t>
  </si>
  <si>
    <t xml:space="preserve">WEDGE C — defines upper tier of market</t>
  </si>
  <si>
    <t xml:space="preserve">Founder-led sales + 8-week delivery</t>
  </si>
  <si>
    <t xml:space="preserve">CEO + CTO + SME Lead</t>
  </si>
  <si>
    <t xml:space="preserve">Bosch contract signed; deliverable shipped; press release published</t>
  </si>
  <si>
    <t xml:space="preserve">Phase 3 (M7-M9)</t>
  </si>
  <si>
    <t xml:space="preserve">Sprint 3.1 (per Doc 5)</t>
  </si>
  <si>
    <t xml:space="preserve">REST API GA with rate limiting, metering, OAuth, webhooks</t>
  </si>
  <si>
    <t xml:space="preserve">Tier-1 platforms only buy via API; Artifactum has no API tier shown</t>
  </si>
  <si>
    <t xml:space="preserve">4-6 weeks</t>
  </si>
  <si>
    <t xml:space="preserve">CTO + Senior Engineer</t>
  </si>
  <si>
    <t xml:space="preserve">API documented; 1 platform in pilot</t>
  </si>
  <si>
    <t xml:space="preserve">Phase 3</t>
  </si>
  <si>
    <t xml:space="preserve">NEW Sprint 3.2</t>
  </si>
  <si>
    <t xml:space="preserve">ATS Connector Framework — Greenhouse + Lever + Workday (3 integrations)</t>
  </si>
  <si>
    <t xml:space="preserve">Reduces enterprise integration cost; deal accelerator</t>
  </si>
  <si>
    <t xml:space="preserve">2-3 weeks per ATS</t>
  </si>
  <si>
    <t xml:space="preserve">CTO</t>
  </si>
  <si>
    <t xml:space="preserve">3 ATS integrations live with reference customers</t>
  </si>
  <si>
    <t xml:space="preserve">NEW Sprint 3.3</t>
  </si>
  <si>
    <t xml:space="preserve">Audit Log API (customer-pullable, not just vendor UI)</t>
  </si>
  <si>
    <t xml:space="preserve">Procurement requirement enterprise-tier</t>
  </si>
  <si>
    <t xml:space="preserve">API + docs + 1 customer pulling logs</t>
  </si>
  <si>
    <t xml:space="preserve">NEW Sprint 3.4</t>
  </si>
  <si>
    <t xml:space="preserve">SSO / SAML enterprise</t>
  </si>
  <si>
    <t xml:space="preserve">1 enterprise customer SSO-onboarded</t>
  </si>
  <si>
    <t xml:space="preserve">Phase 4 (M10-M12)</t>
  </si>
  <si>
    <t xml:space="preserve">NEW Sprint 4.1</t>
  </si>
  <si>
    <t xml:space="preserve">Watermarking v1 (cryptographic per-customer markers)</t>
  </si>
  <si>
    <t xml:space="preserve">Stack-Vault default; Artifactum has no equivalent</t>
  </si>
  <si>
    <t xml:space="preserve">CTO + CDO</t>
  </si>
  <si>
    <t xml:space="preserve">v1 deployed for all Stack-Vault customers</t>
  </si>
  <si>
    <t xml:space="preserve">Phase 4</t>
  </si>
  <si>
    <t xml:space="preserve">NEW Sprint 4.2</t>
  </si>
  <si>
    <t xml:space="preserve">Anti-Leak Engine v1 (continuous, real-time tier for Enterprise SLA)</t>
  </si>
  <si>
    <t xml:space="preserve">Tier-up from Sprint 1.6 benchmark report</t>
  </si>
  <si>
    <t xml:space="preserve">6-8 weeks</t>
  </si>
  <si>
    <t xml:space="preserve">Enterprise SLA tier live; first SLA-grade customer</t>
  </si>
  <si>
    <t xml:space="preserve">NEW Sprint 4.3</t>
  </si>
  <si>
    <t xml:space="preserve">Reference Panel v1 (1,000+ candidates, fairness-audited)</t>
  </si>
  <si>
    <t xml:space="preserve">Required for SO-21 IRT mandate at scale</t>
  </si>
  <si>
    <t xml:space="preserve">Continuous from M3</t>
  </si>
  <si>
    <t xml:space="preserve">CDO + I/O Psych</t>
  </si>
  <si>
    <t xml:space="preserve">1,000+ panel members; fairness audit passed</t>
  </si>
  <si>
    <t xml:space="preserve">NEW Sprint 4.4</t>
  </si>
  <si>
    <t xml:space="preserve">Bias-Detection Methodology v1 in production</t>
  </si>
  <si>
    <t xml:space="preserve">4 weeks</t>
  </si>
  <si>
    <t xml:space="preserve">CDO + I/O Psych + Legal</t>
  </si>
  <si>
    <t xml:space="preserve">Methodology operational; per-pool bias report</t>
  </si>
  <si>
    <t xml:space="preserve">Source Artifacts &amp; Methodology</t>
  </si>
  <si>
    <t xml:space="preserve">Source</t>
  </si>
  <si>
    <t xml:space="preserve">Where</t>
  </si>
  <si>
    <t xml:space="preserve">Method</t>
  </si>
  <si>
    <t xml:space="preserve">Artifactum sales deck (9 slides)</t>
  </si>
  <si>
    <t xml:space="preserve">/uploads/artifactum_deck.pptx (36KB)</t>
  </si>
  <si>
    <t xml:space="preserve">Extracted via python-pptx; saved as artifactum_deck_extracted.md</t>
  </si>
  <si>
    <t xml:space="preserve">Artifactum product walkthrough video</t>
  </si>
  <si>
    <t xml:space="preserve">/uploads/WhatsApp Video 2026-05-02 at 23.38.31.mp4 (112MB, 5:30)</t>
  </si>
  <si>
    <t xml:space="preserve">Audio extracted via ffmpeg; transcribed via faster-whisper tiny.en model; saved as competitor_audio_transcript.txt</t>
  </si>
  <si>
    <t xml:space="preserve">QOrium Constitution v2.0</t>
  </si>
  <si>
    <t xml:space="preserve">/QOrium/09-QOrium-Constitution-v2.0.md</t>
  </si>
  <si>
    <t xml:space="preserve">Read for SKU + Standing Order alignment</t>
  </si>
  <si>
    <t xml:space="preserve">QOrium SKU Architecture (Doc 5)</t>
  </si>
  <si>
    <t xml:space="preserve">/QOrium/05-QOrium-Three-Use-Cases-SKU-Architecture.md</t>
  </si>
  <si>
    <t xml:space="preserve">Read for SKU pricing + buyer × delivery matrix</t>
  </si>
  <si>
    <t xml:space="preserve">QOrium Market Landscape (Doc 1)</t>
  </si>
  <si>
    <t xml:space="preserve">/QOrium/01-Market-Landscape.md</t>
  </si>
  <si>
    <t xml:space="preserve">Read for TAM, regulatory, buyer-segment context</t>
  </si>
  <si>
    <t xml:space="preserve">QOrium Sprint Plan v1</t>
  </si>
  <si>
    <t xml:space="preserve">/QOrium/governance/QORIUM-Sprint-Plan-v1.md</t>
  </si>
  <si>
    <t xml:space="preserve">Read for current sprint status; new sprints appended</t>
  </si>
  <si>
    <t xml:space="preserve">Auto-memory: project_talpro_single_entity</t>
  </si>
  <si>
    <t xml:space="preserve">user-memory</t>
  </si>
  <si>
    <t xml:space="preserve">Confirms Talpro India = legal entity; QOrium = product line</t>
  </si>
  <si>
    <t xml:space="preserve">Auto-memory: talpro_customer_zero</t>
  </si>
  <si>
    <t xml:space="preserve">Customer Zero pattern referenced in Wedge moves</t>
  </si>
  <si>
    <t xml:space="preserve">Auto-memory: feedback_consolidate_research_files</t>
  </si>
  <si>
    <t xml:space="preserve">Drives single rolling .md + .xlsx pattern for this engagement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</si>
</sst>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name val="Arial"/>
      <family val="0"/>
      <charset val="1"/>
    </font>
  </fonts>
  <fills count="1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DEBF7"/>
        <bgColor rgb="FFD9E1F2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E7E6E6"/>
      </patternFill>
    </fill>
    <fill>
      <patternFill patternType="solid">
        <fgColor rgb="FFFCE4D6"/>
        <bgColor rgb="FFFFF2CC"/>
      </patternFill>
    </fill>
    <fill>
      <patternFill patternType="solid">
        <fgColor rgb="FFE7E6E6"/>
        <bgColor rgb="FFE2EFDA"/>
      </patternFill>
    </fill>
    <fill>
      <patternFill patternType="solid">
        <fgColor rgb="FFD9D9D9"/>
        <bgColor rgb="FFD0E0E3"/>
      </patternFill>
    </fill>
    <fill>
      <patternFill patternType="solid">
        <fgColor rgb="FFD0E0E3"/>
        <bgColor rgb="FFD9E1F2"/>
      </patternFill>
    </fill>
    <fill>
      <patternFill patternType="solid">
        <fgColor rgb="FFEAD1DC"/>
        <bgColor rgb="FFD9D9D9"/>
      </patternFill>
    </fill>
    <fill>
      <patternFill patternType="solid">
        <fgColor rgb="FFC6EFCE"/>
        <bgColor rgb="FFD0E0E3"/>
      </patternFill>
    </fill>
    <fill>
      <patternFill patternType="solid">
        <fgColor rgb="FFFFEB9C"/>
        <bgColor rgb="FFFFF2CC"/>
      </patternFill>
    </fill>
    <fill>
      <patternFill patternType="solid">
        <fgColor rgb="FFFFC7CE"/>
        <bgColor rgb="FFF8CBAD"/>
      </patternFill>
    </fill>
    <fill>
      <patternFill patternType="solid">
        <fgColor rgb="FFD9E1F2"/>
        <bgColor rgb="FFD0E0E3"/>
      </patternFill>
    </fill>
    <fill>
      <patternFill patternType="solid">
        <fgColor rgb="FFF8CBAD"/>
        <bgColor rgb="FFFFC7C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11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1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1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1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1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E7E6E6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D9E1F2"/>
      <rgbColor rgb="FF993366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EB9C"/>
      <rgbColor rgb="FFD0E0E3"/>
      <rgbColor rgb="FFFFC7CE"/>
      <rgbColor rgb="FFEAD1DC"/>
      <rgbColor rgb="FFF8CBAD"/>
      <rgbColor rgb="FF3366FF"/>
      <rgbColor rgb="FF33CCCC"/>
      <rgbColor rgb="FF99CC00"/>
      <rgbColor rgb="FFFCE4D6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60"/>
    <col collapsed="false" customWidth="true" hidden="false" outlineLevel="0" max="3" min="3" style="0" width="35"/>
  </cols>
  <sheetData>
    <row r="1" customFormat="false" ht="17.35" hidden="false" customHeight="false" outlineLevel="0" collapsed="false">
      <c r="A1" s="1" t="s">
        <v>0</v>
      </c>
      <c r="B1" s="1"/>
      <c r="C1" s="1"/>
    </row>
    <row r="2" customFormat="false" ht="15" hidden="false" customHeight="false" outlineLevel="0" collapsed="false">
      <c r="A2" s="2" t="s">
        <v>1</v>
      </c>
      <c r="B2" s="2"/>
      <c r="C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</row>
    <row r="5" customFormat="false" ht="15" hidden="false" customHeight="false" outlineLevel="0" collapsed="false">
      <c r="A5" s="4" t="s">
        <v>5</v>
      </c>
      <c r="B5" s="4" t="s">
        <v>6</v>
      </c>
      <c r="C5" s="4" t="s">
        <v>7</v>
      </c>
    </row>
    <row r="6" customFormat="false" ht="15" hidden="false" customHeight="false" outlineLevel="0" collapsed="false">
      <c r="A6" s="4" t="s">
        <v>8</v>
      </c>
      <c r="B6" s="4" t="s">
        <v>9</v>
      </c>
      <c r="C6" s="4" t="s">
        <v>10</v>
      </c>
    </row>
    <row r="7" customFormat="false" ht="15" hidden="false" customHeight="false" outlineLevel="0" collapsed="false">
      <c r="A7" s="4" t="s">
        <v>11</v>
      </c>
      <c r="B7" s="4" t="s">
        <v>12</v>
      </c>
      <c r="C7" s="4" t="s">
        <v>13</v>
      </c>
    </row>
    <row r="8" customFormat="false" ht="15" hidden="false" customHeight="false" outlineLevel="0" collapsed="false">
      <c r="A8" s="4" t="s">
        <v>14</v>
      </c>
      <c r="B8" s="4" t="s">
        <v>15</v>
      </c>
      <c r="C8" s="4" t="s">
        <v>16</v>
      </c>
    </row>
    <row r="9" customFormat="false" ht="15" hidden="false" customHeight="false" outlineLevel="0" collapsed="false">
      <c r="A9" s="4" t="s">
        <v>17</v>
      </c>
      <c r="B9" s="4" t="s">
        <v>18</v>
      </c>
      <c r="C9" s="4" t="s">
        <v>10</v>
      </c>
    </row>
    <row r="10" customFormat="false" ht="15" hidden="false" customHeight="false" outlineLevel="0" collapsed="false">
      <c r="A10" s="4" t="s">
        <v>19</v>
      </c>
      <c r="B10" s="4" t="s">
        <v>20</v>
      </c>
      <c r="C10" s="4" t="s">
        <v>21</v>
      </c>
    </row>
    <row r="11" customFormat="false" ht="15" hidden="false" customHeight="false" outlineLevel="0" collapsed="false">
      <c r="A11" s="4" t="s">
        <v>22</v>
      </c>
      <c r="B11" s="4" t="s">
        <v>23</v>
      </c>
      <c r="C11" s="4" t="s">
        <v>7</v>
      </c>
    </row>
    <row r="14" customFormat="false" ht="15" hidden="false" customHeight="false" outlineLevel="0" collapsed="false">
      <c r="A14" s="5" t="s">
        <v>24</v>
      </c>
    </row>
    <row r="15" customFormat="false" ht="23.85" hidden="false" customHeight="true" outlineLevel="0" collapsed="false">
      <c r="A15" s="6" t="s">
        <v>25</v>
      </c>
      <c r="B15" s="6"/>
      <c r="C15" s="6"/>
    </row>
  </sheetData>
  <mergeCells count="3">
    <mergeCell ref="A1:C1"/>
    <mergeCell ref="A2:C2"/>
    <mergeCell ref="A15:C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8"/>
    <col collapsed="false" customWidth="true" hidden="false" outlineLevel="0" max="3" min="3" style="0" width="35"/>
    <col collapsed="false" customWidth="true" hidden="false" outlineLevel="0" max="6" min="4" style="0" width="38"/>
  </cols>
  <sheetData>
    <row r="1" customFormat="false" ht="17.35" hidden="false" customHeight="false" outlineLevel="0" collapsed="false">
      <c r="A1" s="1" t="s">
        <v>26</v>
      </c>
      <c r="B1" s="1"/>
      <c r="C1" s="1"/>
      <c r="D1" s="1"/>
      <c r="E1" s="1"/>
      <c r="F1" s="1"/>
    </row>
    <row r="3" customFormat="false" ht="31.5" hidden="false" customHeight="true" outlineLevel="0" collapsed="false">
      <c r="A3" s="3" t="s">
        <v>27</v>
      </c>
      <c r="B3" s="3" t="s">
        <v>28</v>
      </c>
      <c r="C3" s="3" t="s">
        <v>29</v>
      </c>
      <c r="D3" s="3" t="s">
        <v>30</v>
      </c>
      <c r="E3" s="3" t="s">
        <v>31</v>
      </c>
      <c r="F3" s="3" t="s">
        <v>32</v>
      </c>
    </row>
    <row r="4" customFormat="false" ht="49.5" hidden="false" customHeight="true" outlineLevel="0" collapsed="false">
      <c r="A4" s="7" t="s">
        <v>33</v>
      </c>
      <c r="B4" s="4" t="s">
        <v>34</v>
      </c>
      <c r="C4" s="4" t="s">
        <v>35</v>
      </c>
      <c r="D4" s="4" t="s">
        <v>36</v>
      </c>
      <c r="E4" s="4" t="s">
        <v>37</v>
      </c>
      <c r="F4" s="4" t="s">
        <v>38</v>
      </c>
    </row>
    <row r="5" customFormat="false" ht="49.5" hidden="false" customHeight="true" outlineLevel="0" collapsed="false">
      <c r="A5" s="7" t="s">
        <v>33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</row>
    <row r="6" customFormat="false" ht="49.5" hidden="false" customHeight="true" outlineLevel="0" collapsed="false">
      <c r="A6" s="7" t="s">
        <v>33</v>
      </c>
      <c r="B6" s="4" t="s">
        <v>44</v>
      </c>
      <c r="C6" s="4" t="s">
        <v>45</v>
      </c>
      <c r="D6" s="4" t="s">
        <v>46</v>
      </c>
      <c r="E6" s="4" t="s">
        <v>47</v>
      </c>
      <c r="F6" s="4" t="s">
        <v>48</v>
      </c>
    </row>
    <row r="7" customFormat="false" ht="49.5" hidden="false" customHeight="true" outlineLevel="0" collapsed="false">
      <c r="A7" s="8" t="s">
        <v>49</v>
      </c>
      <c r="B7" s="4" t="s">
        <v>50</v>
      </c>
      <c r="C7" s="4" t="s">
        <v>51</v>
      </c>
      <c r="D7" s="4" t="s">
        <v>52</v>
      </c>
      <c r="E7" s="4" t="s">
        <v>53</v>
      </c>
      <c r="F7" s="4" t="s">
        <v>54</v>
      </c>
    </row>
    <row r="8" customFormat="false" ht="49.5" hidden="false" customHeight="true" outlineLevel="0" collapsed="false">
      <c r="A8" s="8" t="s">
        <v>49</v>
      </c>
      <c r="B8" s="4" t="s">
        <v>55</v>
      </c>
      <c r="C8" s="4" t="s">
        <v>56</v>
      </c>
      <c r="D8" s="4" t="s">
        <v>57</v>
      </c>
      <c r="E8" s="4" t="s">
        <v>58</v>
      </c>
      <c r="F8" s="4" t="s">
        <v>59</v>
      </c>
    </row>
    <row r="9" customFormat="false" ht="49.5" hidden="false" customHeight="true" outlineLevel="0" collapsed="false">
      <c r="A9" s="8" t="s">
        <v>49</v>
      </c>
      <c r="B9" s="4" t="s">
        <v>60</v>
      </c>
      <c r="C9" s="4" t="s">
        <v>56</v>
      </c>
      <c r="D9" s="4" t="s">
        <v>61</v>
      </c>
      <c r="E9" s="4" t="s">
        <v>62</v>
      </c>
      <c r="F9" s="4" t="s">
        <v>63</v>
      </c>
    </row>
    <row r="10" customFormat="false" ht="49.5" hidden="false" customHeight="true" outlineLevel="0" collapsed="false">
      <c r="A10" s="8" t="s">
        <v>49</v>
      </c>
      <c r="B10" s="4" t="s">
        <v>64</v>
      </c>
      <c r="C10" s="4" t="s">
        <v>56</v>
      </c>
      <c r="D10" s="4" t="s">
        <v>65</v>
      </c>
      <c r="E10" s="4" t="s">
        <v>66</v>
      </c>
      <c r="F10" s="4" t="s">
        <v>67</v>
      </c>
    </row>
    <row r="11" customFormat="false" ht="49.5" hidden="false" customHeight="true" outlineLevel="0" collapsed="false">
      <c r="A11" s="8" t="s">
        <v>49</v>
      </c>
      <c r="B11" s="4" t="s">
        <v>68</v>
      </c>
      <c r="C11" s="4" t="s">
        <v>69</v>
      </c>
      <c r="D11" s="4" t="s">
        <v>70</v>
      </c>
      <c r="E11" s="4" t="s">
        <v>71</v>
      </c>
      <c r="F11" s="4" t="s">
        <v>72</v>
      </c>
    </row>
    <row r="12" customFormat="false" ht="49.5" hidden="false" customHeight="true" outlineLevel="0" collapsed="false">
      <c r="A12" s="9" t="s">
        <v>73</v>
      </c>
      <c r="B12" s="4" t="s">
        <v>74</v>
      </c>
      <c r="C12" s="4" t="s">
        <v>75</v>
      </c>
      <c r="D12" s="4" t="s">
        <v>76</v>
      </c>
      <c r="E12" s="4" t="s">
        <v>77</v>
      </c>
      <c r="F12" s="4" t="s">
        <v>78</v>
      </c>
    </row>
    <row r="13" customFormat="false" ht="49.5" hidden="false" customHeight="true" outlineLevel="0" collapsed="false">
      <c r="A13" s="9" t="s">
        <v>73</v>
      </c>
      <c r="B13" s="4" t="s">
        <v>79</v>
      </c>
      <c r="C13" s="4" t="s">
        <v>56</v>
      </c>
      <c r="D13" s="4" t="s">
        <v>80</v>
      </c>
      <c r="E13" s="4" t="s">
        <v>81</v>
      </c>
      <c r="F13" s="4" t="s">
        <v>82</v>
      </c>
    </row>
    <row r="14" customFormat="false" ht="49.5" hidden="false" customHeight="true" outlineLevel="0" collapsed="false">
      <c r="A14" s="9" t="s">
        <v>73</v>
      </c>
      <c r="B14" s="4" t="s">
        <v>83</v>
      </c>
      <c r="C14" s="4" t="s">
        <v>56</v>
      </c>
      <c r="D14" s="4" t="s">
        <v>84</v>
      </c>
      <c r="E14" s="4" t="s">
        <v>85</v>
      </c>
      <c r="F14" s="4" t="s">
        <v>86</v>
      </c>
    </row>
    <row r="15" customFormat="false" ht="49.5" hidden="false" customHeight="true" outlineLevel="0" collapsed="false">
      <c r="A15" s="9" t="s">
        <v>73</v>
      </c>
      <c r="B15" s="4" t="s">
        <v>87</v>
      </c>
      <c r="C15" s="4" t="s">
        <v>88</v>
      </c>
      <c r="D15" s="4" t="s">
        <v>89</v>
      </c>
      <c r="E15" s="4" t="s">
        <v>90</v>
      </c>
      <c r="F15" s="4" t="s">
        <v>91</v>
      </c>
    </row>
    <row r="16" customFormat="false" ht="49.5" hidden="false" customHeight="true" outlineLevel="0" collapsed="false">
      <c r="A16" s="10" t="s">
        <v>92</v>
      </c>
      <c r="B16" s="4" t="s">
        <v>93</v>
      </c>
      <c r="C16" s="4" t="s">
        <v>94</v>
      </c>
      <c r="D16" s="4" t="s">
        <v>95</v>
      </c>
      <c r="E16" s="4" t="s">
        <v>96</v>
      </c>
      <c r="F16" s="4" t="s">
        <v>97</v>
      </c>
    </row>
    <row r="17" customFormat="false" ht="49.5" hidden="false" customHeight="true" outlineLevel="0" collapsed="false">
      <c r="A17" s="10" t="s">
        <v>92</v>
      </c>
      <c r="B17" s="4" t="s">
        <v>98</v>
      </c>
      <c r="C17" s="4" t="s">
        <v>99</v>
      </c>
      <c r="D17" s="4" t="s">
        <v>100</v>
      </c>
      <c r="E17" s="4" t="s">
        <v>101</v>
      </c>
      <c r="F17" s="4" t="s">
        <v>102</v>
      </c>
    </row>
    <row r="18" customFormat="false" ht="49.5" hidden="false" customHeight="true" outlineLevel="0" collapsed="false">
      <c r="A18" s="10" t="s">
        <v>92</v>
      </c>
      <c r="B18" s="4" t="s">
        <v>103</v>
      </c>
      <c r="C18" s="4" t="s">
        <v>104</v>
      </c>
      <c r="D18" s="4" t="s">
        <v>105</v>
      </c>
      <c r="E18" s="4" t="s">
        <v>106</v>
      </c>
      <c r="F18" s="4" t="s">
        <v>107</v>
      </c>
    </row>
    <row r="19" customFormat="false" ht="49.5" hidden="false" customHeight="true" outlineLevel="0" collapsed="false">
      <c r="A19" s="10" t="s">
        <v>92</v>
      </c>
      <c r="B19" s="4" t="s">
        <v>108</v>
      </c>
      <c r="C19" s="4" t="s">
        <v>109</v>
      </c>
      <c r="D19" s="4" t="s">
        <v>110</v>
      </c>
      <c r="E19" s="4" t="s">
        <v>111</v>
      </c>
      <c r="F19" s="4" t="s">
        <v>112</v>
      </c>
    </row>
    <row r="20" customFormat="false" ht="49.5" hidden="false" customHeight="true" outlineLevel="0" collapsed="false">
      <c r="A20" s="10" t="s">
        <v>92</v>
      </c>
      <c r="B20" s="4" t="s">
        <v>113</v>
      </c>
      <c r="C20" s="4" t="s">
        <v>114</v>
      </c>
      <c r="D20" s="4" t="s">
        <v>115</v>
      </c>
      <c r="E20" s="4" t="s">
        <v>116</v>
      </c>
      <c r="F20" s="4" t="s">
        <v>117</v>
      </c>
    </row>
    <row r="21" customFormat="false" ht="49.5" hidden="false" customHeight="true" outlineLevel="0" collapsed="false">
      <c r="A21" s="10" t="s">
        <v>92</v>
      </c>
      <c r="B21" s="4" t="s">
        <v>118</v>
      </c>
      <c r="C21" s="4" t="s">
        <v>119</v>
      </c>
      <c r="D21" s="4" t="s">
        <v>115</v>
      </c>
      <c r="E21" s="4" t="s">
        <v>120</v>
      </c>
      <c r="F21" s="4" t="s">
        <v>121</v>
      </c>
    </row>
    <row r="22" customFormat="false" ht="49.5" hidden="false" customHeight="true" outlineLevel="0" collapsed="false">
      <c r="A22" s="11" t="s">
        <v>122</v>
      </c>
      <c r="B22" s="4" t="s">
        <v>123</v>
      </c>
      <c r="C22" s="4" t="s">
        <v>124</v>
      </c>
      <c r="D22" s="4" t="s">
        <v>125</v>
      </c>
      <c r="E22" s="4" t="s">
        <v>126</v>
      </c>
      <c r="F22" s="4" t="s">
        <v>127</v>
      </c>
    </row>
    <row r="23" customFormat="false" ht="49.5" hidden="false" customHeight="true" outlineLevel="0" collapsed="false">
      <c r="A23" s="11" t="s">
        <v>122</v>
      </c>
      <c r="B23" s="4" t="s">
        <v>128</v>
      </c>
      <c r="C23" s="4" t="s">
        <v>129</v>
      </c>
      <c r="D23" s="4" t="s">
        <v>84</v>
      </c>
      <c r="E23" s="4" t="s">
        <v>130</v>
      </c>
      <c r="F23" s="4" t="s">
        <v>131</v>
      </c>
    </row>
    <row r="24" customFormat="false" ht="49.5" hidden="false" customHeight="true" outlineLevel="0" collapsed="false">
      <c r="A24" s="11" t="s">
        <v>122</v>
      </c>
      <c r="B24" s="4" t="s">
        <v>132</v>
      </c>
      <c r="C24" s="4" t="s">
        <v>99</v>
      </c>
      <c r="D24" s="4" t="s">
        <v>84</v>
      </c>
      <c r="E24" s="4" t="s">
        <v>130</v>
      </c>
      <c r="F24" s="4" t="s">
        <v>133</v>
      </c>
    </row>
    <row r="25" customFormat="false" ht="49.5" hidden="false" customHeight="true" outlineLevel="0" collapsed="false">
      <c r="A25" s="11" t="s">
        <v>122</v>
      </c>
      <c r="B25" s="4" t="s">
        <v>134</v>
      </c>
      <c r="C25" s="4" t="s">
        <v>135</v>
      </c>
      <c r="D25" s="4" t="s">
        <v>85</v>
      </c>
      <c r="E25" s="4" t="s">
        <v>136</v>
      </c>
      <c r="F25" s="4" t="s">
        <v>137</v>
      </c>
    </row>
    <row r="26" customFormat="false" ht="49.5" hidden="false" customHeight="true" outlineLevel="0" collapsed="false">
      <c r="A26" s="11" t="s">
        <v>122</v>
      </c>
      <c r="B26" s="4" t="s">
        <v>138</v>
      </c>
      <c r="C26" s="4" t="s">
        <v>99</v>
      </c>
      <c r="D26" s="4" t="s">
        <v>139</v>
      </c>
      <c r="E26" s="4" t="s">
        <v>140</v>
      </c>
      <c r="F26" s="4" t="s">
        <v>141</v>
      </c>
    </row>
    <row r="27" customFormat="false" ht="49.5" hidden="false" customHeight="true" outlineLevel="0" collapsed="false">
      <c r="A27" s="11" t="s">
        <v>122</v>
      </c>
      <c r="B27" s="4" t="s">
        <v>142</v>
      </c>
      <c r="C27" s="4" t="s">
        <v>56</v>
      </c>
      <c r="D27" s="4" t="s">
        <v>143</v>
      </c>
      <c r="E27" s="4" t="s">
        <v>130</v>
      </c>
      <c r="F27" s="4" t="s">
        <v>144</v>
      </c>
    </row>
    <row r="28" customFormat="false" ht="49.5" hidden="false" customHeight="true" outlineLevel="0" collapsed="false">
      <c r="A28" s="12" t="s">
        <v>145</v>
      </c>
      <c r="B28" s="4" t="s">
        <v>146</v>
      </c>
      <c r="C28" s="4" t="s">
        <v>56</v>
      </c>
      <c r="D28" s="4" t="s">
        <v>147</v>
      </c>
      <c r="E28" s="4" t="s">
        <v>130</v>
      </c>
      <c r="F28" s="4" t="s">
        <v>148</v>
      </c>
    </row>
    <row r="29" customFormat="false" ht="49.5" hidden="false" customHeight="true" outlineLevel="0" collapsed="false">
      <c r="A29" s="12" t="s">
        <v>145</v>
      </c>
      <c r="B29" s="4" t="s">
        <v>149</v>
      </c>
      <c r="C29" s="4" t="s">
        <v>150</v>
      </c>
      <c r="D29" s="4" t="s">
        <v>151</v>
      </c>
      <c r="E29" s="4" t="s">
        <v>130</v>
      </c>
      <c r="F29" s="4" t="s">
        <v>152</v>
      </c>
    </row>
    <row r="30" customFormat="false" ht="49.5" hidden="false" customHeight="true" outlineLevel="0" collapsed="false">
      <c r="A30" s="12" t="s">
        <v>145</v>
      </c>
      <c r="B30" s="4" t="s">
        <v>153</v>
      </c>
      <c r="C30" s="4" t="s">
        <v>154</v>
      </c>
      <c r="D30" s="4" t="s">
        <v>155</v>
      </c>
      <c r="E30" s="4" t="s">
        <v>156</v>
      </c>
      <c r="F30" s="4" t="s">
        <v>157</v>
      </c>
    </row>
    <row r="31" customFormat="false" ht="49.5" hidden="false" customHeight="true" outlineLevel="0" collapsed="false">
      <c r="A31" s="12" t="s">
        <v>145</v>
      </c>
      <c r="B31" s="4" t="s">
        <v>158</v>
      </c>
      <c r="C31" s="4" t="s">
        <v>99</v>
      </c>
      <c r="D31" s="4" t="s">
        <v>143</v>
      </c>
      <c r="E31" s="4" t="s">
        <v>130</v>
      </c>
      <c r="F31" s="4" t="s">
        <v>159</v>
      </c>
    </row>
    <row r="32" customFormat="false" ht="49.5" hidden="false" customHeight="true" outlineLevel="0" collapsed="false">
      <c r="A32" s="13" t="s">
        <v>160</v>
      </c>
      <c r="B32" s="4" t="s">
        <v>161</v>
      </c>
      <c r="C32" s="4" t="s">
        <v>99</v>
      </c>
      <c r="D32" s="4" t="s">
        <v>162</v>
      </c>
      <c r="E32" s="4" t="s">
        <v>163</v>
      </c>
      <c r="F32" s="4" t="s">
        <v>164</v>
      </c>
    </row>
    <row r="33" customFormat="false" ht="49.5" hidden="false" customHeight="true" outlineLevel="0" collapsed="false">
      <c r="A33" s="13" t="s">
        <v>160</v>
      </c>
      <c r="B33" s="4" t="s">
        <v>165</v>
      </c>
      <c r="C33" s="4" t="s">
        <v>166</v>
      </c>
      <c r="D33" s="4" t="s">
        <v>167</v>
      </c>
      <c r="E33" s="4" t="s">
        <v>168</v>
      </c>
      <c r="F33" s="4" t="s">
        <v>169</v>
      </c>
    </row>
    <row r="34" customFormat="false" ht="49.5" hidden="false" customHeight="true" outlineLevel="0" collapsed="false">
      <c r="A34" s="13" t="s">
        <v>160</v>
      </c>
      <c r="B34" s="4" t="s">
        <v>170</v>
      </c>
      <c r="C34" s="4" t="s">
        <v>171</v>
      </c>
      <c r="D34" s="4" t="s">
        <v>172</v>
      </c>
      <c r="E34" s="4" t="s">
        <v>173</v>
      </c>
      <c r="F34" s="4" t="s">
        <v>174</v>
      </c>
    </row>
    <row r="35" customFormat="false" ht="49.5" hidden="false" customHeight="true" outlineLevel="0" collapsed="false">
      <c r="A35" s="13" t="s">
        <v>160</v>
      </c>
      <c r="B35" s="4" t="s">
        <v>175</v>
      </c>
      <c r="C35" s="4" t="s">
        <v>176</v>
      </c>
      <c r="D35" s="4" t="s">
        <v>177</v>
      </c>
      <c r="E35" s="4" t="s">
        <v>42</v>
      </c>
      <c r="F35" s="4" t="s">
        <v>178</v>
      </c>
    </row>
    <row r="36" customFormat="false" ht="49.5" hidden="false" customHeight="true" outlineLevel="0" collapsed="false">
      <c r="A36" s="14" t="s">
        <v>179</v>
      </c>
      <c r="B36" s="4" t="s">
        <v>180</v>
      </c>
      <c r="C36" s="4" t="s">
        <v>181</v>
      </c>
      <c r="D36" s="4" t="s">
        <v>182</v>
      </c>
      <c r="E36" s="4" t="s">
        <v>183</v>
      </c>
      <c r="F36" s="4" t="s">
        <v>184</v>
      </c>
    </row>
    <row r="37" customFormat="false" ht="49.5" hidden="false" customHeight="true" outlineLevel="0" collapsed="false">
      <c r="A37" s="14" t="s">
        <v>179</v>
      </c>
      <c r="B37" s="4" t="s">
        <v>185</v>
      </c>
      <c r="C37" s="4" t="s">
        <v>186</v>
      </c>
      <c r="D37" s="4" t="s">
        <v>187</v>
      </c>
      <c r="E37" s="4" t="s">
        <v>188</v>
      </c>
      <c r="F37" s="4" t="s">
        <v>189</v>
      </c>
    </row>
    <row r="38" customFormat="false" ht="49.5" hidden="false" customHeight="true" outlineLevel="0" collapsed="false">
      <c r="A38" s="14" t="s">
        <v>179</v>
      </c>
      <c r="B38" s="4" t="s">
        <v>190</v>
      </c>
      <c r="C38" s="4" t="s">
        <v>191</v>
      </c>
      <c r="D38" s="4" t="s">
        <v>192</v>
      </c>
      <c r="E38" s="4" t="s">
        <v>193</v>
      </c>
      <c r="F38" s="4" t="s">
        <v>194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32"/>
    <col collapsed="false" customWidth="true" hidden="false" outlineLevel="0" max="3" min="3" style="0" width="22"/>
    <col collapsed="false" customWidth="true" hidden="false" outlineLevel="0" max="4" min="4" style="0" width="35"/>
    <col collapsed="false" customWidth="true" hidden="false" outlineLevel="0" max="5" min="5" style="0" width="38"/>
  </cols>
  <sheetData>
    <row r="1" customFormat="false" ht="17.35" hidden="false" customHeight="false" outlineLevel="0" collapsed="false">
      <c r="A1" s="1" t="s">
        <v>195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196</v>
      </c>
      <c r="B2" s="2"/>
      <c r="C2" s="2"/>
      <c r="D2" s="2"/>
      <c r="E2" s="2"/>
    </row>
    <row r="4" customFormat="false" ht="15" hidden="false" customHeight="false" outlineLevel="0" collapsed="false">
      <c r="A4" s="3" t="s">
        <v>197</v>
      </c>
      <c r="B4" s="3" t="s">
        <v>198</v>
      </c>
      <c r="C4" s="3" t="s">
        <v>199</v>
      </c>
      <c r="D4" s="3" t="s">
        <v>200</v>
      </c>
      <c r="E4" s="3" t="s">
        <v>32</v>
      </c>
    </row>
    <row r="5" customFormat="false" ht="30" hidden="false" customHeight="true" outlineLevel="0" collapsed="false">
      <c r="A5" s="4" t="s">
        <v>201</v>
      </c>
      <c r="B5" s="4" t="s">
        <v>202</v>
      </c>
      <c r="C5" s="4" t="s">
        <v>203</v>
      </c>
      <c r="D5" s="4" t="s">
        <v>204</v>
      </c>
      <c r="E5" s="4" t="s">
        <v>205</v>
      </c>
    </row>
    <row r="6" customFormat="false" ht="30" hidden="false" customHeight="true" outlineLevel="0" collapsed="false">
      <c r="A6" s="4" t="s">
        <v>206</v>
      </c>
      <c r="B6" s="4" t="s">
        <v>207</v>
      </c>
      <c r="C6" s="4" t="s">
        <v>208</v>
      </c>
      <c r="D6" s="4" t="s">
        <v>186</v>
      </c>
      <c r="E6" s="4" t="s">
        <v>209</v>
      </c>
    </row>
    <row r="7" customFormat="false" ht="30" hidden="false" customHeight="true" outlineLevel="0" collapsed="false">
      <c r="A7" s="4" t="s">
        <v>206</v>
      </c>
      <c r="B7" s="4" t="s">
        <v>210</v>
      </c>
      <c r="C7" s="4" t="s">
        <v>211</v>
      </c>
      <c r="D7" s="4" t="s">
        <v>186</v>
      </c>
      <c r="E7" s="4" t="s">
        <v>212</v>
      </c>
    </row>
    <row r="8" customFormat="false" ht="30" hidden="false" customHeight="true" outlineLevel="0" collapsed="false">
      <c r="A8" s="4" t="s">
        <v>213</v>
      </c>
      <c r="B8" s="4" t="s">
        <v>214</v>
      </c>
      <c r="C8" s="4" t="s">
        <v>215</v>
      </c>
      <c r="D8" s="4" t="s">
        <v>216</v>
      </c>
      <c r="E8" s="4" t="s">
        <v>217</v>
      </c>
    </row>
    <row r="9" customFormat="false" ht="30" hidden="false" customHeight="true" outlineLevel="0" collapsed="false">
      <c r="A9" s="4" t="s">
        <v>213</v>
      </c>
      <c r="B9" s="4" t="s">
        <v>218</v>
      </c>
      <c r="C9" s="4" t="s">
        <v>219</v>
      </c>
      <c r="D9" s="4" t="s">
        <v>186</v>
      </c>
      <c r="E9" s="4" t="s">
        <v>220</v>
      </c>
    </row>
    <row r="10" customFormat="false" ht="30" hidden="false" customHeight="true" outlineLevel="0" collapsed="false">
      <c r="A10" s="4" t="s">
        <v>213</v>
      </c>
      <c r="B10" s="4" t="s">
        <v>221</v>
      </c>
      <c r="C10" s="4" t="s">
        <v>222</v>
      </c>
      <c r="D10" s="4" t="s">
        <v>186</v>
      </c>
      <c r="E10" s="4" t="s">
        <v>223</v>
      </c>
    </row>
    <row r="11" customFormat="false" ht="30" hidden="false" customHeight="true" outlineLevel="0" collapsed="false">
      <c r="A11" s="4" t="s">
        <v>224</v>
      </c>
      <c r="B11" s="4" t="s">
        <v>225</v>
      </c>
      <c r="C11" s="4" t="s">
        <v>226</v>
      </c>
      <c r="D11" s="4" t="s">
        <v>227</v>
      </c>
      <c r="E11" s="4" t="s">
        <v>228</v>
      </c>
    </row>
    <row r="12" customFormat="false" ht="30" hidden="false" customHeight="true" outlineLevel="0" collapsed="false">
      <c r="A12" s="4" t="s">
        <v>224</v>
      </c>
      <c r="B12" s="4" t="s">
        <v>229</v>
      </c>
      <c r="C12" s="4" t="s">
        <v>230</v>
      </c>
      <c r="D12" s="4" t="s">
        <v>186</v>
      </c>
      <c r="E12" s="4" t="s">
        <v>231</v>
      </c>
    </row>
    <row r="13" customFormat="false" ht="30" hidden="false" customHeight="true" outlineLevel="0" collapsed="false">
      <c r="A13" s="4" t="s">
        <v>232</v>
      </c>
      <c r="B13" s="4" t="s">
        <v>233</v>
      </c>
      <c r="C13" s="4" t="s">
        <v>234</v>
      </c>
      <c r="D13" s="4" t="s">
        <v>186</v>
      </c>
      <c r="E13" s="4" t="s">
        <v>235</v>
      </c>
    </row>
    <row r="14" customFormat="false" ht="30" hidden="false" customHeight="true" outlineLevel="0" collapsed="false">
      <c r="A14" s="4" t="s">
        <v>236</v>
      </c>
      <c r="B14" s="4" t="s">
        <v>237</v>
      </c>
      <c r="C14" s="4" t="s">
        <v>238</v>
      </c>
      <c r="D14" s="4" t="s">
        <v>239</v>
      </c>
      <c r="E14" s="4" t="s">
        <v>240</v>
      </c>
    </row>
    <row r="15" customFormat="false" ht="30" hidden="false" customHeight="true" outlineLevel="0" collapsed="false">
      <c r="A15" s="4" t="s">
        <v>241</v>
      </c>
      <c r="B15" s="4" t="s">
        <v>242</v>
      </c>
      <c r="C15" s="4" t="s">
        <v>243</v>
      </c>
      <c r="D15" s="4" t="s">
        <v>186</v>
      </c>
      <c r="E15" s="4" t="s">
        <v>244</v>
      </c>
    </row>
    <row r="16" customFormat="false" ht="30" hidden="false" customHeight="true" outlineLevel="0" collapsed="false">
      <c r="A16" s="4" t="s">
        <v>241</v>
      </c>
      <c r="B16" s="4" t="s">
        <v>245</v>
      </c>
      <c r="C16" s="4" t="s">
        <v>246</v>
      </c>
      <c r="D16" s="4" t="s">
        <v>186</v>
      </c>
      <c r="E16" s="4" t="s">
        <v>247</v>
      </c>
    </row>
    <row r="17" customFormat="false" ht="30" hidden="false" customHeight="true" outlineLevel="0" collapsed="false">
      <c r="A17" s="4" t="s">
        <v>248</v>
      </c>
      <c r="B17" s="4" t="s">
        <v>249</v>
      </c>
      <c r="C17" s="4" t="s">
        <v>250</v>
      </c>
      <c r="D17" s="4" t="s">
        <v>186</v>
      </c>
      <c r="E17" s="4" t="s">
        <v>251</v>
      </c>
    </row>
    <row r="18" customFormat="false" ht="30" hidden="false" customHeight="true" outlineLevel="0" collapsed="false">
      <c r="A18" s="4" t="s">
        <v>252</v>
      </c>
      <c r="B18" s="4" t="s">
        <v>253</v>
      </c>
      <c r="C18" s="4" t="s">
        <v>254</v>
      </c>
      <c r="D18" s="4" t="s">
        <v>255</v>
      </c>
      <c r="E18" s="4" t="s">
        <v>256</v>
      </c>
    </row>
    <row r="19" customFormat="false" ht="30" hidden="false" customHeight="true" outlineLevel="0" collapsed="false">
      <c r="A19" s="4" t="s">
        <v>257</v>
      </c>
      <c r="B19" s="4" t="s">
        <v>258</v>
      </c>
      <c r="C19" s="4" t="s">
        <v>259</v>
      </c>
      <c r="D19" s="4" t="s">
        <v>260</v>
      </c>
      <c r="E19" s="4" t="s">
        <v>261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30"/>
    <col collapsed="false" customWidth="true" hidden="false" outlineLevel="0" max="3" min="3" style="0" width="32"/>
    <col collapsed="false" customWidth="true" hidden="false" outlineLevel="0" max="4" min="4" style="0" width="38"/>
    <col collapsed="false" customWidth="true" hidden="false" outlineLevel="0" max="5" min="5" style="0" width="32"/>
  </cols>
  <sheetData>
    <row r="1" customFormat="false" ht="17.35" hidden="false" customHeight="false" outlineLevel="0" collapsed="false">
      <c r="A1" s="1" t="s">
        <v>262</v>
      </c>
      <c r="B1" s="1"/>
      <c r="C1" s="1"/>
      <c r="D1" s="1"/>
      <c r="E1" s="1"/>
    </row>
    <row r="2" customFormat="false" ht="15" hidden="false" customHeight="false" outlineLevel="0" collapsed="false">
      <c r="A2" s="15" t="s">
        <v>263</v>
      </c>
    </row>
    <row r="4" customFormat="false" ht="15" hidden="false" customHeight="false" outlineLevel="0" collapsed="false">
      <c r="A4" s="3" t="s">
        <v>264</v>
      </c>
      <c r="B4" s="3" t="s">
        <v>265</v>
      </c>
      <c r="C4" s="3" t="s">
        <v>266</v>
      </c>
      <c r="D4" s="3" t="s">
        <v>267</v>
      </c>
      <c r="E4" s="3" t="s">
        <v>268</v>
      </c>
    </row>
    <row r="5" customFormat="false" ht="37.5" hidden="false" customHeight="true" outlineLevel="0" collapsed="false">
      <c r="A5" s="4" t="s">
        <v>269</v>
      </c>
      <c r="B5" s="16" t="s">
        <v>270</v>
      </c>
      <c r="C5" s="16" t="s">
        <v>271</v>
      </c>
      <c r="D5" s="4" t="s">
        <v>272</v>
      </c>
      <c r="E5" s="4" t="s">
        <v>273</v>
      </c>
    </row>
    <row r="6" customFormat="false" ht="37.5" hidden="false" customHeight="true" outlineLevel="0" collapsed="false">
      <c r="A6" s="4" t="s">
        <v>274</v>
      </c>
      <c r="B6" s="16" t="s">
        <v>270</v>
      </c>
      <c r="C6" s="17" t="s">
        <v>275</v>
      </c>
      <c r="D6" s="4" t="s">
        <v>276</v>
      </c>
      <c r="E6" s="4" t="s">
        <v>277</v>
      </c>
    </row>
    <row r="7" customFormat="false" ht="37.5" hidden="false" customHeight="true" outlineLevel="0" collapsed="false">
      <c r="A7" s="4" t="s">
        <v>278</v>
      </c>
      <c r="B7" s="16" t="s">
        <v>279</v>
      </c>
      <c r="C7" s="18" t="s">
        <v>280</v>
      </c>
      <c r="D7" s="4" t="s">
        <v>281</v>
      </c>
      <c r="E7" s="4" t="s">
        <v>282</v>
      </c>
    </row>
    <row r="8" customFormat="false" ht="37.5" hidden="false" customHeight="true" outlineLevel="0" collapsed="false">
      <c r="A8" s="4" t="s">
        <v>283</v>
      </c>
      <c r="B8" s="16" t="s">
        <v>270</v>
      </c>
      <c r="C8" s="17" t="s">
        <v>284</v>
      </c>
      <c r="D8" s="4" t="s">
        <v>285</v>
      </c>
      <c r="E8" s="4" t="s">
        <v>286</v>
      </c>
    </row>
    <row r="9" customFormat="false" ht="37.5" hidden="false" customHeight="true" outlineLevel="0" collapsed="false">
      <c r="A9" s="4" t="s">
        <v>287</v>
      </c>
      <c r="B9" s="16" t="s">
        <v>270</v>
      </c>
      <c r="C9" s="18" t="s">
        <v>280</v>
      </c>
      <c r="D9" s="4" t="s">
        <v>288</v>
      </c>
      <c r="E9" s="4" t="s">
        <v>289</v>
      </c>
    </row>
    <row r="10" customFormat="false" ht="37.5" hidden="false" customHeight="true" outlineLevel="0" collapsed="false">
      <c r="A10" s="4" t="s">
        <v>290</v>
      </c>
      <c r="B10" s="16" t="s">
        <v>270</v>
      </c>
      <c r="C10" s="18" t="s">
        <v>280</v>
      </c>
      <c r="D10" s="4" t="s">
        <v>291</v>
      </c>
      <c r="E10" s="4" t="s">
        <v>292</v>
      </c>
    </row>
    <row r="11" customFormat="false" ht="37.5" hidden="false" customHeight="true" outlineLevel="0" collapsed="false">
      <c r="A11" s="4" t="s">
        <v>293</v>
      </c>
      <c r="B11" s="18" t="s">
        <v>294</v>
      </c>
      <c r="C11" s="16" t="s">
        <v>295</v>
      </c>
      <c r="D11" s="4" t="s">
        <v>296</v>
      </c>
      <c r="E11" s="4" t="s">
        <v>297</v>
      </c>
    </row>
    <row r="12" customFormat="false" ht="37.5" hidden="false" customHeight="true" outlineLevel="0" collapsed="false">
      <c r="A12" s="4" t="s">
        <v>298</v>
      </c>
      <c r="B12" s="18" t="s">
        <v>299</v>
      </c>
      <c r="C12" s="16" t="s">
        <v>300</v>
      </c>
      <c r="D12" s="4" t="s">
        <v>301</v>
      </c>
      <c r="E12" s="4" t="s">
        <v>302</v>
      </c>
    </row>
    <row r="13" customFormat="false" ht="37.5" hidden="false" customHeight="true" outlineLevel="0" collapsed="false">
      <c r="A13" s="4" t="s">
        <v>303</v>
      </c>
      <c r="B13" s="18" t="s">
        <v>299</v>
      </c>
      <c r="C13" s="16" t="s">
        <v>304</v>
      </c>
      <c r="D13" s="4" t="s">
        <v>305</v>
      </c>
      <c r="E13" s="4" t="s">
        <v>306</v>
      </c>
    </row>
    <row r="14" customFormat="false" ht="37.5" hidden="false" customHeight="true" outlineLevel="0" collapsed="false">
      <c r="A14" s="4" t="s">
        <v>307</v>
      </c>
      <c r="B14" s="18" t="s">
        <v>308</v>
      </c>
      <c r="C14" s="16" t="s">
        <v>309</v>
      </c>
      <c r="D14" s="4" t="s">
        <v>310</v>
      </c>
      <c r="E14" s="4" t="s">
        <v>311</v>
      </c>
    </row>
    <row r="15" customFormat="false" ht="37.5" hidden="false" customHeight="true" outlineLevel="0" collapsed="false">
      <c r="A15" s="4" t="s">
        <v>312</v>
      </c>
      <c r="B15" s="18" t="s">
        <v>299</v>
      </c>
      <c r="C15" s="16" t="s">
        <v>313</v>
      </c>
      <c r="D15" s="4" t="s">
        <v>314</v>
      </c>
      <c r="E15" s="4" t="s">
        <v>315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2"/>
    <col collapsed="false" customWidth="true" hidden="false" outlineLevel="0" max="8" min="3" style="0" width="12"/>
    <col collapsed="false" customWidth="true" hidden="false" outlineLevel="0" max="9" min="9" style="0" width="38"/>
  </cols>
  <sheetData>
    <row r="1" customFormat="false" ht="17.35" hidden="false" customHeight="false" outlineLevel="0" collapsed="false">
      <c r="A1" s="1" t="s">
        <v>316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15" t="s">
        <v>317</v>
      </c>
    </row>
    <row r="4" customFormat="false" ht="39.55" hidden="false" customHeight="false" outlineLevel="0" collapsed="false">
      <c r="A4" s="3" t="s">
        <v>318</v>
      </c>
      <c r="B4" s="3" t="s">
        <v>319</v>
      </c>
      <c r="C4" s="3" t="s">
        <v>320</v>
      </c>
      <c r="D4" s="3" t="s">
        <v>321</v>
      </c>
      <c r="E4" s="3" t="s">
        <v>322</v>
      </c>
      <c r="F4" s="3" t="s">
        <v>323</v>
      </c>
      <c r="G4" s="3" t="s">
        <v>324</v>
      </c>
      <c r="H4" s="3" t="s">
        <v>325</v>
      </c>
      <c r="I4" s="3" t="s">
        <v>326</v>
      </c>
    </row>
    <row r="5" customFormat="false" ht="42" hidden="false" customHeight="true" outlineLevel="0" collapsed="false">
      <c r="A5" s="4" t="n">
        <v>1</v>
      </c>
      <c r="B5" s="4" t="s">
        <v>327</v>
      </c>
      <c r="C5" s="4" t="n">
        <v>4</v>
      </c>
      <c r="D5" s="4" t="n">
        <v>4</v>
      </c>
      <c r="E5" s="4" t="n">
        <v>4</v>
      </c>
      <c r="F5" s="4" t="n">
        <v>3</v>
      </c>
      <c r="G5" s="4" t="n">
        <v>4</v>
      </c>
      <c r="H5" s="18" t="n">
        <f aca="false">SUM(C5:G5)</f>
        <v>19</v>
      </c>
      <c r="I5" s="4"/>
    </row>
    <row r="6" customFormat="false" ht="42" hidden="false" customHeight="true" outlineLevel="0" collapsed="false">
      <c r="A6" s="4" t="n">
        <v>2</v>
      </c>
      <c r="B6" s="4" t="s">
        <v>328</v>
      </c>
      <c r="C6" s="4" t="n">
        <v>3</v>
      </c>
      <c r="D6" s="4" t="n">
        <v>3</v>
      </c>
      <c r="E6" s="4" t="n">
        <v>2</v>
      </c>
      <c r="F6" s="4" t="n">
        <v>3</v>
      </c>
      <c r="G6" s="4" t="n">
        <v>1</v>
      </c>
      <c r="H6" s="17" t="n">
        <f aca="false">SUM(C6:G6)</f>
        <v>12</v>
      </c>
      <c r="I6" s="4"/>
    </row>
    <row r="7" customFormat="false" ht="42" hidden="false" customHeight="true" outlineLevel="0" collapsed="false">
      <c r="A7" s="4" t="n">
        <v>3</v>
      </c>
      <c r="B7" s="4" t="s">
        <v>329</v>
      </c>
      <c r="C7" s="4" t="n">
        <v>3</v>
      </c>
      <c r="D7" s="4" t="n">
        <v>4</v>
      </c>
      <c r="E7" s="4" t="n">
        <v>3</v>
      </c>
      <c r="F7" s="4" t="n">
        <v>2</v>
      </c>
      <c r="G7" s="4" t="n">
        <v>2</v>
      </c>
      <c r="H7" s="17" t="n">
        <f aca="false">SUM(C7:G7)</f>
        <v>14</v>
      </c>
      <c r="I7" s="4"/>
    </row>
    <row r="8" customFormat="false" ht="42" hidden="false" customHeight="true" outlineLevel="0" collapsed="false">
      <c r="A8" s="4" t="n">
        <v>4</v>
      </c>
      <c r="B8" s="4" t="s">
        <v>330</v>
      </c>
      <c r="C8" s="4" t="n">
        <v>3</v>
      </c>
      <c r="D8" s="4" t="n">
        <v>3</v>
      </c>
      <c r="E8" s="4" t="n">
        <v>4</v>
      </c>
      <c r="F8" s="4" t="n">
        <v>4</v>
      </c>
      <c r="G8" s="4" t="n">
        <v>2</v>
      </c>
      <c r="H8" s="17" t="n">
        <f aca="false">SUM(C8:G8)</f>
        <v>16</v>
      </c>
      <c r="I8" s="4"/>
    </row>
    <row r="9" customFormat="false" ht="42" hidden="false" customHeight="true" outlineLevel="0" collapsed="false">
      <c r="A9" s="4" t="n">
        <v>5</v>
      </c>
      <c r="B9" s="4" t="s">
        <v>331</v>
      </c>
      <c r="C9" s="4" t="n">
        <v>2</v>
      </c>
      <c r="D9" s="4" t="n">
        <v>3</v>
      </c>
      <c r="E9" s="4" t="n">
        <v>2</v>
      </c>
      <c r="F9" s="4" t="n">
        <v>2</v>
      </c>
      <c r="G9" s="4" t="n">
        <v>3</v>
      </c>
      <c r="H9" s="17" t="n">
        <f aca="false">SUM(C9:G9)</f>
        <v>12</v>
      </c>
      <c r="I9" s="4"/>
    </row>
    <row r="10" customFormat="false" ht="42" hidden="false" customHeight="true" outlineLevel="0" collapsed="false">
      <c r="A10" s="4" t="n">
        <v>6</v>
      </c>
      <c r="B10" s="4" t="s">
        <v>332</v>
      </c>
      <c r="C10" s="4" t="n">
        <v>2</v>
      </c>
      <c r="D10" s="4" t="n">
        <v>5</v>
      </c>
      <c r="E10" s="4" t="n">
        <v>4</v>
      </c>
      <c r="F10" s="4" t="n">
        <v>4</v>
      </c>
      <c r="G10" s="4" t="n">
        <v>4</v>
      </c>
      <c r="H10" s="18" t="n">
        <f aca="false">SUM(C10:G10)</f>
        <v>19</v>
      </c>
      <c r="I10" s="4"/>
    </row>
    <row r="11" customFormat="false" ht="42" hidden="false" customHeight="true" outlineLevel="0" collapsed="false">
      <c r="A11" s="4" t="n">
        <v>7</v>
      </c>
      <c r="B11" s="4" t="s">
        <v>333</v>
      </c>
      <c r="C11" s="4" t="n">
        <v>3</v>
      </c>
      <c r="D11" s="4" t="n">
        <v>4</v>
      </c>
      <c r="E11" s="4" t="n">
        <v>3</v>
      </c>
      <c r="F11" s="4" t="n">
        <v>4</v>
      </c>
      <c r="G11" s="4" t="n">
        <v>3</v>
      </c>
      <c r="H11" s="17" t="n">
        <f aca="false">SUM(C11:G11)</f>
        <v>17</v>
      </c>
      <c r="I11" s="4"/>
    </row>
    <row r="12" customFormat="false" ht="42" hidden="false" customHeight="true" outlineLevel="0" collapsed="false">
      <c r="A12" s="4" t="n">
        <v>8</v>
      </c>
      <c r="B12" s="4" t="s">
        <v>334</v>
      </c>
      <c r="C12" s="4" t="n">
        <v>2</v>
      </c>
      <c r="D12" s="4" t="n">
        <v>4</v>
      </c>
      <c r="E12" s="4" t="n">
        <v>5</v>
      </c>
      <c r="F12" s="4" t="n">
        <v>4</v>
      </c>
      <c r="G12" s="4" t="n">
        <v>4</v>
      </c>
      <c r="H12" s="18" t="n">
        <f aca="false">SUM(C12:G12)</f>
        <v>19</v>
      </c>
      <c r="I12" s="4"/>
    </row>
    <row r="13" customFormat="false" ht="42" hidden="false" customHeight="true" outlineLevel="0" collapsed="false">
      <c r="A13" s="4" t="n">
        <v>9</v>
      </c>
      <c r="B13" s="4" t="s">
        <v>335</v>
      </c>
      <c r="C13" s="4" t="n">
        <v>3</v>
      </c>
      <c r="D13" s="4" t="n">
        <v>3</v>
      </c>
      <c r="E13" s="4" t="n">
        <v>2</v>
      </c>
      <c r="F13" s="4" t="n">
        <v>2</v>
      </c>
      <c r="G13" s="4" t="n">
        <v>2</v>
      </c>
      <c r="H13" s="17" t="n">
        <f aca="false">SUM(C13:G13)</f>
        <v>12</v>
      </c>
      <c r="I13" s="4"/>
    </row>
    <row r="14" customFormat="false" ht="42" hidden="false" customHeight="true" outlineLevel="0" collapsed="false">
      <c r="A14" s="4" t="n">
        <v>10</v>
      </c>
      <c r="B14" s="4" t="s">
        <v>336</v>
      </c>
      <c r="C14" s="4" t="n">
        <v>3</v>
      </c>
      <c r="D14" s="4" t="n">
        <v>4</v>
      </c>
      <c r="E14" s="4" t="n">
        <v>3</v>
      </c>
      <c r="F14" s="4" t="n">
        <v>2</v>
      </c>
      <c r="G14" s="4" t="n">
        <v>2</v>
      </c>
      <c r="H14" s="17" t="n">
        <f aca="false">SUM(C14:G14)</f>
        <v>14</v>
      </c>
      <c r="I14" s="4"/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2"/>
    <col collapsed="false" customWidth="true" hidden="false" outlineLevel="0" max="4" min="3" style="0" width="38"/>
    <col collapsed="false" customWidth="true" hidden="false" outlineLevel="0" max="5" min="5" style="0" width="14"/>
    <col collapsed="false" customWidth="true" hidden="false" outlineLevel="0" max="6" min="6" style="0" width="22"/>
    <col collapsed="false" customWidth="true" hidden="false" outlineLevel="0" max="7" min="7" style="0" width="38"/>
  </cols>
  <sheetData>
    <row r="1" customFormat="false" ht="17.35" hidden="false" customHeight="false" outlineLevel="0" collapsed="false">
      <c r="A1" s="1" t="s">
        <v>337</v>
      </c>
      <c r="B1" s="1"/>
      <c r="C1" s="1"/>
      <c r="D1" s="1"/>
      <c r="E1" s="1"/>
      <c r="F1" s="1"/>
      <c r="G1" s="1"/>
    </row>
    <row r="3" customFormat="false" ht="31.5" hidden="false" customHeight="true" outlineLevel="0" collapsed="false">
      <c r="A3" s="3" t="s">
        <v>338</v>
      </c>
      <c r="B3" s="3" t="s">
        <v>339</v>
      </c>
      <c r="C3" s="3" t="s">
        <v>340</v>
      </c>
      <c r="D3" s="3" t="s">
        <v>341</v>
      </c>
      <c r="E3" s="3" t="s">
        <v>342</v>
      </c>
      <c r="F3" s="3" t="s">
        <v>343</v>
      </c>
      <c r="G3" s="3" t="s">
        <v>344</v>
      </c>
    </row>
    <row r="4" customFormat="false" ht="49.5" hidden="false" customHeight="true" outlineLevel="0" collapsed="false">
      <c r="A4" s="19" t="s">
        <v>345</v>
      </c>
      <c r="B4" s="4" t="s">
        <v>346</v>
      </c>
      <c r="C4" s="4" t="s">
        <v>347</v>
      </c>
      <c r="D4" s="4" t="s">
        <v>348</v>
      </c>
      <c r="E4" s="4" t="s">
        <v>349</v>
      </c>
      <c r="F4" s="4" t="s">
        <v>350</v>
      </c>
      <c r="G4" s="4" t="s">
        <v>351</v>
      </c>
    </row>
    <row r="5" customFormat="false" ht="49.5" hidden="false" customHeight="true" outlineLevel="0" collapsed="false">
      <c r="A5" s="19" t="s">
        <v>345</v>
      </c>
      <c r="B5" s="4" t="s">
        <v>346</v>
      </c>
      <c r="C5" s="4" t="s">
        <v>352</v>
      </c>
      <c r="D5" s="4" t="s">
        <v>353</v>
      </c>
      <c r="E5" s="4" t="s">
        <v>349</v>
      </c>
      <c r="F5" s="4" t="s">
        <v>354</v>
      </c>
      <c r="G5" s="4" t="s">
        <v>355</v>
      </c>
    </row>
    <row r="6" customFormat="false" ht="49.5" hidden="false" customHeight="true" outlineLevel="0" collapsed="false">
      <c r="A6" s="19" t="s">
        <v>345</v>
      </c>
      <c r="B6" s="4" t="s">
        <v>356</v>
      </c>
      <c r="C6" s="4" t="s">
        <v>357</v>
      </c>
      <c r="D6" s="4" t="s">
        <v>358</v>
      </c>
      <c r="E6" s="4" t="s">
        <v>359</v>
      </c>
      <c r="F6" s="4" t="s">
        <v>360</v>
      </c>
      <c r="G6" s="4" t="s">
        <v>361</v>
      </c>
    </row>
    <row r="7" customFormat="false" ht="49.5" hidden="false" customHeight="true" outlineLevel="0" collapsed="false">
      <c r="A7" s="8" t="s">
        <v>362</v>
      </c>
      <c r="B7" s="4" t="s">
        <v>363</v>
      </c>
      <c r="C7" s="4" t="s">
        <v>364</v>
      </c>
      <c r="D7" s="4" t="s">
        <v>365</v>
      </c>
      <c r="E7" s="4" t="s">
        <v>366</v>
      </c>
      <c r="F7" s="4" t="s">
        <v>367</v>
      </c>
      <c r="G7" s="4" t="s">
        <v>368</v>
      </c>
    </row>
    <row r="8" customFormat="false" ht="49.5" hidden="false" customHeight="true" outlineLevel="0" collapsed="false">
      <c r="A8" s="4" t="s">
        <v>369</v>
      </c>
      <c r="B8" s="4" t="s">
        <v>370</v>
      </c>
      <c r="C8" s="4" t="s">
        <v>371</v>
      </c>
      <c r="D8" s="4" t="s">
        <v>372</v>
      </c>
      <c r="E8" s="4" t="s">
        <v>373</v>
      </c>
      <c r="F8" s="4" t="s">
        <v>374</v>
      </c>
      <c r="G8" s="4" t="s">
        <v>375</v>
      </c>
    </row>
    <row r="9" customFormat="false" ht="49.5" hidden="false" customHeight="true" outlineLevel="0" collapsed="false">
      <c r="A9" s="4" t="s">
        <v>369</v>
      </c>
      <c r="B9" s="4" t="s">
        <v>376</v>
      </c>
      <c r="C9" s="4" t="s">
        <v>377</v>
      </c>
      <c r="D9" s="4" t="s">
        <v>378</v>
      </c>
      <c r="E9" s="4" t="s">
        <v>379</v>
      </c>
      <c r="F9" s="4" t="s">
        <v>380</v>
      </c>
      <c r="G9" s="4" t="s">
        <v>381</v>
      </c>
    </row>
    <row r="10" customFormat="false" ht="49.5" hidden="false" customHeight="true" outlineLevel="0" collapsed="false">
      <c r="A10" s="4" t="s">
        <v>369</v>
      </c>
      <c r="B10" s="4" t="s">
        <v>382</v>
      </c>
      <c r="C10" s="4" t="s">
        <v>383</v>
      </c>
      <c r="D10" s="4" t="s">
        <v>384</v>
      </c>
      <c r="E10" s="4" t="s">
        <v>373</v>
      </c>
      <c r="F10" s="4" t="s">
        <v>385</v>
      </c>
      <c r="G10" s="4" t="s">
        <v>386</v>
      </c>
    </row>
    <row r="11" customFormat="false" ht="49.5" hidden="false" customHeight="true" outlineLevel="0" collapsed="false">
      <c r="A11" s="9" t="s">
        <v>387</v>
      </c>
      <c r="B11" s="4" t="s">
        <v>388</v>
      </c>
      <c r="C11" s="4" t="s">
        <v>389</v>
      </c>
      <c r="D11" s="4" t="s">
        <v>390</v>
      </c>
      <c r="E11" s="4" t="s">
        <v>391</v>
      </c>
      <c r="F11" s="4" t="s">
        <v>392</v>
      </c>
      <c r="G11" s="4" t="s">
        <v>393</v>
      </c>
    </row>
    <row r="12" customFormat="false" ht="49.5" hidden="false" customHeight="true" outlineLevel="0" collapsed="false">
      <c r="A12" s="4" t="s">
        <v>394</v>
      </c>
      <c r="B12" s="4" t="s">
        <v>395</v>
      </c>
      <c r="C12" s="4" t="s">
        <v>396</v>
      </c>
      <c r="D12" s="4" t="s">
        <v>397</v>
      </c>
      <c r="E12" s="4" t="s">
        <v>398</v>
      </c>
      <c r="F12" s="4" t="s">
        <v>399</v>
      </c>
      <c r="G12" s="4" t="s">
        <v>289</v>
      </c>
    </row>
    <row r="13" customFormat="false" ht="49.5" hidden="false" customHeight="true" outlineLevel="0" collapsed="false">
      <c r="A13" s="4" t="s">
        <v>394</v>
      </c>
      <c r="B13" s="4" t="s">
        <v>400</v>
      </c>
      <c r="C13" s="4" t="s">
        <v>401</v>
      </c>
      <c r="D13" s="4" t="s">
        <v>402</v>
      </c>
      <c r="E13" s="4" t="s">
        <v>379</v>
      </c>
      <c r="F13" s="4" t="s">
        <v>403</v>
      </c>
      <c r="G13" s="4" t="s">
        <v>404</v>
      </c>
    </row>
    <row r="14" customFormat="false" ht="49.5" hidden="false" customHeight="true" outlineLevel="0" collapsed="false">
      <c r="A14" s="4" t="s">
        <v>394</v>
      </c>
      <c r="B14" s="4" t="s">
        <v>405</v>
      </c>
      <c r="C14" s="4" t="s">
        <v>406</v>
      </c>
      <c r="D14" s="4" t="s">
        <v>407</v>
      </c>
      <c r="E14" s="4" t="s">
        <v>408</v>
      </c>
      <c r="F14" s="4" t="s">
        <v>409</v>
      </c>
      <c r="G14" s="4" t="s">
        <v>410</v>
      </c>
    </row>
    <row r="15" customFormat="false" ht="49.5" hidden="false" customHeight="true" outlineLevel="0" collapsed="false">
      <c r="A15" s="4" t="s">
        <v>394</v>
      </c>
      <c r="B15" s="4" t="s">
        <v>411</v>
      </c>
      <c r="C15" s="4" t="s">
        <v>412</v>
      </c>
      <c r="D15" s="4" t="s">
        <v>413</v>
      </c>
      <c r="E15" s="4" t="s">
        <v>414</v>
      </c>
      <c r="F15" s="4" t="s">
        <v>415</v>
      </c>
      <c r="G15" s="4" t="s">
        <v>416</v>
      </c>
    </row>
    <row r="16" customFormat="false" ht="49.5" hidden="false" customHeight="true" outlineLevel="0" collapsed="false">
      <c r="A16" s="10" t="s">
        <v>417</v>
      </c>
      <c r="B16" s="4" t="s">
        <v>418</v>
      </c>
      <c r="C16" s="4" t="s">
        <v>419</v>
      </c>
      <c r="D16" s="4" t="s">
        <v>420</v>
      </c>
      <c r="E16" s="4" t="s">
        <v>421</v>
      </c>
      <c r="F16" s="4" t="s">
        <v>422</v>
      </c>
      <c r="G16" s="4" t="s">
        <v>423</v>
      </c>
    </row>
    <row r="17" customFormat="false" ht="49.5" hidden="false" customHeight="true" outlineLevel="0" collapsed="false">
      <c r="A17" s="4" t="s">
        <v>424</v>
      </c>
      <c r="B17" s="4" t="s">
        <v>425</v>
      </c>
      <c r="C17" s="4" t="s">
        <v>426</v>
      </c>
      <c r="D17" s="4" t="s">
        <v>427</v>
      </c>
      <c r="E17" s="4" t="s">
        <v>428</v>
      </c>
      <c r="F17" s="4" t="s">
        <v>429</v>
      </c>
      <c r="G17" s="4" t="s">
        <v>430</v>
      </c>
    </row>
    <row r="18" customFormat="false" ht="49.5" hidden="false" customHeight="true" outlineLevel="0" collapsed="false">
      <c r="A18" s="4" t="s">
        <v>424</v>
      </c>
      <c r="B18" s="4" t="s">
        <v>431</v>
      </c>
      <c r="C18" s="4" t="s">
        <v>432</v>
      </c>
      <c r="D18" s="4" t="s">
        <v>433</v>
      </c>
      <c r="E18" s="4" t="s">
        <v>373</v>
      </c>
      <c r="F18" s="4" t="s">
        <v>429</v>
      </c>
      <c r="G18" s="4" t="s">
        <v>434</v>
      </c>
    </row>
    <row r="19" customFormat="false" ht="49.5" hidden="false" customHeight="true" outlineLevel="0" collapsed="false">
      <c r="A19" s="4" t="s">
        <v>424</v>
      </c>
      <c r="B19" s="4" t="s">
        <v>435</v>
      </c>
      <c r="C19" s="4" t="s">
        <v>436</v>
      </c>
      <c r="D19" s="4" t="s">
        <v>148</v>
      </c>
      <c r="E19" s="4" t="s">
        <v>379</v>
      </c>
      <c r="F19" s="4" t="s">
        <v>429</v>
      </c>
      <c r="G19" s="4" t="s">
        <v>437</v>
      </c>
    </row>
    <row r="20" customFormat="false" ht="49.5" hidden="false" customHeight="true" outlineLevel="0" collapsed="false">
      <c r="A20" s="20" t="s">
        <v>438</v>
      </c>
      <c r="B20" s="4" t="s">
        <v>439</v>
      </c>
      <c r="C20" s="4" t="s">
        <v>440</v>
      </c>
      <c r="D20" s="4" t="s">
        <v>441</v>
      </c>
      <c r="E20" s="4" t="s">
        <v>421</v>
      </c>
      <c r="F20" s="4" t="s">
        <v>442</v>
      </c>
      <c r="G20" s="4" t="s">
        <v>443</v>
      </c>
    </row>
    <row r="21" customFormat="false" ht="49.5" hidden="false" customHeight="true" outlineLevel="0" collapsed="false">
      <c r="A21" s="4" t="s">
        <v>444</v>
      </c>
      <c r="B21" s="4" t="s">
        <v>445</v>
      </c>
      <c r="C21" s="4" t="s">
        <v>446</v>
      </c>
      <c r="D21" s="4" t="s">
        <v>447</v>
      </c>
      <c r="E21" s="4" t="s">
        <v>448</v>
      </c>
      <c r="F21" s="4" t="s">
        <v>442</v>
      </c>
      <c r="G21" s="4" t="s">
        <v>449</v>
      </c>
    </row>
    <row r="22" customFormat="false" ht="49.5" hidden="false" customHeight="true" outlineLevel="0" collapsed="false">
      <c r="A22" s="4" t="s">
        <v>444</v>
      </c>
      <c r="B22" s="4" t="s">
        <v>450</v>
      </c>
      <c r="C22" s="4" t="s">
        <v>451</v>
      </c>
      <c r="D22" s="4" t="s">
        <v>452</v>
      </c>
      <c r="E22" s="4" t="s">
        <v>453</v>
      </c>
      <c r="F22" s="4" t="s">
        <v>454</v>
      </c>
      <c r="G22" s="4" t="s">
        <v>455</v>
      </c>
    </row>
    <row r="23" customFormat="false" ht="49.5" hidden="false" customHeight="true" outlineLevel="0" collapsed="false">
      <c r="A23" s="4" t="s">
        <v>444</v>
      </c>
      <c r="B23" s="4" t="s">
        <v>456</v>
      </c>
      <c r="C23" s="4" t="s">
        <v>457</v>
      </c>
      <c r="D23" s="4" t="s">
        <v>67</v>
      </c>
      <c r="E23" s="4" t="s">
        <v>458</v>
      </c>
      <c r="F23" s="4" t="s">
        <v>459</v>
      </c>
      <c r="G23" s="4" t="s">
        <v>460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60"/>
    <col collapsed="false" customWidth="true" hidden="false" outlineLevel="0" max="3" min="3" style="0" width="56"/>
  </cols>
  <sheetData>
    <row r="1" customFormat="false" ht="17.35" hidden="false" customHeight="false" outlineLevel="0" collapsed="false">
      <c r="A1" s="1" t="s">
        <v>461</v>
      </c>
      <c r="B1" s="1"/>
      <c r="C1" s="1"/>
    </row>
    <row r="3" customFormat="false" ht="15" hidden="false" customHeight="false" outlineLevel="0" collapsed="false">
      <c r="A3" s="3" t="s">
        <v>462</v>
      </c>
      <c r="B3" s="3" t="s">
        <v>463</v>
      </c>
      <c r="C3" s="3" t="s">
        <v>464</v>
      </c>
    </row>
    <row r="4" customFormat="false" ht="31.5" hidden="false" customHeight="true" outlineLevel="0" collapsed="false">
      <c r="A4" s="4" t="s">
        <v>465</v>
      </c>
      <c r="B4" s="4" t="s">
        <v>466</v>
      </c>
      <c r="C4" s="4" t="s">
        <v>467</v>
      </c>
    </row>
    <row r="5" customFormat="false" ht="31.5" hidden="false" customHeight="true" outlineLevel="0" collapsed="false">
      <c r="A5" s="4" t="s">
        <v>468</v>
      </c>
      <c r="B5" s="4" t="s">
        <v>469</v>
      </c>
      <c r="C5" s="4" t="s">
        <v>470</v>
      </c>
    </row>
    <row r="6" customFormat="false" ht="31.5" hidden="false" customHeight="true" outlineLevel="0" collapsed="false">
      <c r="A6" s="4" t="s">
        <v>471</v>
      </c>
      <c r="B6" s="4" t="s">
        <v>472</v>
      </c>
      <c r="C6" s="4" t="s">
        <v>473</v>
      </c>
    </row>
    <row r="7" customFormat="false" ht="31.5" hidden="false" customHeight="true" outlineLevel="0" collapsed="false">
      <c r="A7" s="4" t="s">
        <v>474</v>
      </c>
      <c r="B7" s="4" t="s">
        <v>475</v>
      </c>
      <c r="C7" s="4" t="s">
        <v>476</v>
      </c>
    </row>
    <row r="8" customFormat="false" ht="31.5" hidden="false" customHeight="true" outlineLevel="0" collapsed="false">
      <c r="A8" s="4" t="s">
        <v>477</v>
      </c>
      <c r="B8" s="4" t="s">
        <v>478</v>
      </c>
      <c r="C8" s="4" t="s">
        <v>479</v>
      </c>
    </row>
    <row r="9" customFormat="false" ht="31.5" hidden="false" customHeight="true" outlineLevel="0" collapsed="false">
      <c r="A9" s="4" t="s">
        <v>480</v>
      </c>
      <c r="B9" s="4" t="s">
        <v>481</v>
      </c>
      <c r="C9" s="4" t="s">
        <v>482</v>
      </c>
    </row>
    <row r="10" customFormat="false" ht="31.5" hidden="false" customHeight="true" outlineLevel="0" collapsed="false">
      <c r="A10" s="4" t="s">
        <v>483</v>
      </c>
      <c r="B10" s="4" t="s">
        <v>484</v>
      </c>
      <c r="C10" s="4" t="s">
        <v>485</v>
      </c>
    </row>
    <row r="11" customFormat="false" ht="31.5" hidden="false" customHeight="true" outlineLevel="0" collapsed="false">
      <c r="A11" s="4" t="s">
        <v>486</v>
      </c>
      <c r="B11" s="4" t="s">
        <v>484</v>
      </c>
      <c r="C11" s="4" t="s">
        <v>487</v>
      </c>
    </row>
    <row r="12" customFormat="false" ht="31.5" hidden="false" customHeight="true" outlineLevel="0" collapsed="false">
      <c r="A12" s="4" t="s">
        <v>488</v>
      </c>
      <c r="B12" s="4" t="s">
        <v>484</v>
      </c>
      <c r="C12" s="4" t="s">
        <v>489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2026-05-03T14:26:12Z</dcterms:created>
  <dc:creator>openpyxl</dc:creator>
  <dc:description/>
  <dc:language>en-US</dc:language>
  <cp:lastModifiedBy/>
  <dcterms:modified xsi:type="dcterms:W3CDTF">2026-05-03T14:26:12Z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