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Ops" sheetId="1" state="visible" r:id="rId1"/>
    <sheet xmlns:r="http://schemas.openxmlformats.org/officeDocument/2006/relationships" name="Per_Role_Metrics" sheetId="2" state="visible" r:id="rId2"/>
    <sheet xmlns:r="http://schemas.openxmlformats.org/officeDocument/2006/relationships" name="Defect_Log" sheetId="3" state="visible" r:id="rId3"/>
    <sheet xmlns:r="http://schemas.openxmlformats.org/officeDocument/2006/relationships" name="Calibration_IRT" sheetId="4" state="visible" r:id="rId4"/>
    <sheet xmlns:r="http://schemas.openxmlformats.org/officeDocument/2006/relationships" name="Summary_Dashboard" sheetId="5" state="visible" r:id="rId5"/>
    <sheet xmlns:r="http://schemas.openxmlformats.org/officeDocument/2006/relationships" name="Instru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A1F3D"/>
        <bgColor rgb="000A1F3D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6" customWidth="1" min="3" max="3"/>
    <col width="17" customWidth="1" min="4" max="4"/>
    <col width="12" customWidth="1" min="5" max="5"/>
    <col width="17" customWidth="1" min="6" max="6"/>
    <col width="17" customWidth="1" min="7" max="7"/>
    <col width="10" customWidth="1" min="8" max="8"/>
    <col width="10" customWidth="1" min="9" max="9"/>
    <col width="10" customWidth="1" min="10" max="10"/>
    <col width="10" customWidth="1" min="11" max="11"/>
    <col width="35" customWidth="1" min="12" max="12"/>
    <col width="35" customWidth="1" min="13" max="13"/>
  </cols>
  <sheetData>
    <row r="1">
      <c r="A1" s="1" t="inlineStr">
        <is>
          <t>Date</t>
        </is>
      </c>
      <c r="B1" s="1" t="inlineStr">
        <is>
          <t>Day_of_Month</t>
        </is>
      </c>
      <c r="C1" s="1" t="inlineStr">
        <is>
          <t>Questions_Delivered</t>
        </is>
      </c>
      <c r="D1" s="1" t="inlineStr">
        <is>
          <t>Candidates_Assessed</t>
        </is>
      </c>
      <c r="E1" s="1" t="inlineStr">
        <is>
          <t>Avg_Score_pct</t>
        </is>
      </c>
      <c r="F1" s="1" t="inlineStr">
        <is>
          <t>Flagged_AI_Plagiarism</t>
        </is>
      </c>
      <c r="G1" s="1" t="inlineStr">
        <is>
          <t>Flagged_Anti_Cheat</t>
        </is>
      </c>
      <c r="H1" s="1" t="inlineStr">
        <is>
          <t>P0_Defects</t>
        </is>
      </c>
      <c r="I1" s="1" t="inlineStr">
        <is>
          <t>P1_Defects</t>
        </is>
      </c>
      <c r="J1" s="1" t="inlineStr">
        <is>
          <t>P2_Defects</t>
        </is>
      </c>
      <c r="K1" s="1" t="inlineStr">
        <is>
          <t>P3_Defects</t>
        </is>
      </c>
      <c r="L1" s="1" t="inlineStr">
        <is>
          <t>Notes_Recruiter_Feedback</t>
        </is>
      </c>
      <c r="M1" s="1" t="inlineStr">
        <is>
          <t>Notes_CTO_Action</t>
        </is>
      </c>
    </row>
    <row r="2">
      <c r="A2" s="2" t="inlineStr">
        <is>
          <t>2026-06-01</t>
        </is>
      </c>
      <c r="B2" s="2" t="n">
        <v>1</v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inlineStr">
        <is>
          <t>2026-06-02</t>
        </is>
      </c>
      <c r="B3" s="2" t="n">
        <v>2</v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2026-06-03</t>
        </is>
      </c>
      <c r="B4" s="2" t="n">
        <v>3</v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2026-06-04</t>
        </is>
      </c>
      <c r="B5" s="2" t="n">
        <v>4</v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2026-06-05</t>
        </is>
      </c>
      <c r="B6" s="2" t="n">
        <v>5</v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2026-06-06</t>
        </is>
      </c>
      <c r="B7" s="2" t="n">
        <v>6</v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inlineStr">
        <is>
          <t>2026-06-07</t>
        </is>
      </c>
      <c r="B8" s="2" t="n">
        <v>7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inlineStr">
        <is>
          <t>2026-06-08</t>
        </is>
      </c>
      <c r="B9" s="2" t="n">
        <v>8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inlineStr">
        <is>
          <t>2026-06-09</t>
        </is>
      </c>
      <c r="B10" s="2" t="n">
        <v>9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2026-06-10</t>
        </is>
      </c>
      <c r="B11" s="2" t="n">
        <v>10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2026-06-11</t>
        </is>
      </c>
      <c r="B12" s="2" t="n">
        <v>11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inlineStr">
        <is>
          <t>2026-06-12</t>
        </is>
      </c>
      <c r="B13" s="2" t="n">
        <v>12</v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2026-06-13</t>
        </is>
      </c>
      <c r="B14" s="2" t="n">
        <v>13</v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2026-06-14</t>
        </is>
      </c>
      <c r="B15" s="2" t="n">
        <v>14</v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2026-06-15</t>
        </is>
      </c>
      <c r="B16" s="2" t="n">
        <v>15</v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2026-06-16</t>
        </is>
      </c>
      <c r="B17" s="2" t="n">
        <v>16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inlineStr">
        <is>
          <t>2026-06-17</t>
        </is>
      </c>
      <c r="B18" s="2" t="n">
        <v>17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inlineStr">
        <is>
          <t>2026-06-18</t>
        </is>
      </c>
      <c r="B19" s="2" t="n">
        <v>18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2026-06-19</t>
        </is>
      </c>
      <c r="B20" s="2" t="n">
        <v>19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2026-06-20</t>
        </is>
      </c>
      <c r="B21" s="2" t="n">
        <v>20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2026-06-21</t>
        </is>
      </c>
      <c r="B22" s="2" t="n">
        <v>21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inlineStr">
        <is>
          <t>2026-06-22</t>
        </is>
      </c>
      <c r="B23" s="2" t="n">
        <v>22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inlineStr">
        <is>
          <t>2026-06-23</t>
        </is>
      </c>
      <c r="B24" s="2" t="n">
        <v>23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inlineStr">
        <is>
          <t>2026-06-24</t>
        </is>
      </c>
      <c r="B25" s="2" t="n">
        <v>24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inlineStr">
        <is>
          <t>2026-06-25</t>
        </is>
      </c>
      <c r="B26" s="2" t="n">
        <v>25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2026-06-26</t>
        </is>
      </c>
      <c r="B27" s="2" t="n">
        <v>26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2026-06-27</t>
        </is>
      </c>
      <c r="B28" s="2" t="n">
        <v>27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2026-06-28</t>
        </is>
      </c>
      <c r="B29" s="2" t="n">
        <v>28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inlineStr">
        <is>
          <t>2026-06-29</t>
        </is>
      </c>
      <c r="B30" s="2" t="n">
        <v>29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inlineStr">
        <is>
          <t>2026-06-30</t>
        </is>
      </c>
      <c r="B31" s="2" t="n">
        <v>30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22" customWidth="1" min="3" max="3"/>
    <col width="22" customWidth="1" min="4" max="4"/>
    <col width="12" customWidth="1" min="5" max="5"/>
    <col width="18" customWidth="1" min="6" max="6"/>
    <col width="18" customWidth="1" min="7" max="7"/>
    <col width="18" customWidth="1" min="8" max="8"/>
    <col width="30" customWidth="1" min="9" max="9"/>
  </cols>
  <sheetData>
    <row r="1">
      <c r="A1" s="1" t="inlineStr">
        <is>
          <t>Role</t>
        </is>
      </c>
      <c r="B1" s="1" t="inlineStr">
        <is>
          <t>Wave_1_Sub_Skill</t>
        </is>
      </c>
      <c r="C1" s="1" t="inlineStr">
        <is>
          <t>Questions_Delivered_Month</t>
        </is>
      </c>
      <c r="D1" s="1" t="inlineStr">
        <is>
          <t>Candidates_Assessed_Month</t>
        </is>
      </c>
      <c r="E1" s="1" t="inlineStr">
        <is>
          <t>Avg_Score_pct</t>
        </is>
      </c>
      <c r="F1" s="1" t="inlineStr">
        <is>
          <t>False_Positive_Rate_pct</t>
        </is>
      </c>
      <c r="G1" s="1" t="inlineStr">
        <is>
          <t>False_Negative_Rate_pct</t>
        </is>
      </c>
      <c r="H1" s="1" t="inlineStr">
        <is>
          <t>NPS_From_Recruiters</t>
        </is>
      </c>
      <c r="I1" s="1" t="inlineStr">
        <is>
          <t>Action_Required</t>
        </is>
      </c>
    </row>
    <row r="2">
      <c r="A2" s="2" t="inlineStr">
        <is>
          <t>Senior Java</t>
        </is>
      </c>
      <c r="B2" s="2" t="inlineStr">
        <is>
          <t>java</t>
        </is>
      </c>
      <c r="C2" s="2" t="n"/>
      <c r="D2" s="2" t="n"/>
      <c r="E2" s="2" t="n"/>
      <c r="F2" s="2" t="n"/>
      <c r="G2" s="2" t="n"/>
      <c r="H2" s="2" t="n"/>
      <c r="I2" s="2" t="n"/>
    </row>
    <row r="3">
      <c r="A3" s="2" t="inlineStr">
        <is>
          <t>Senior React/JS</t>
        </is>
      </c>
      <c r="B3" s="2" t="inlineStr">
        <is>
          <t>react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Senior SQL/Data</t>
        </is>
      </c>
      <c r="B4" s="2" t="inlineStr">
        <is>
          <t>sql</t>
        </is>
      </c>
      <c r="C4" s="2" t="n"/>
      <c r="D4" s="2" t="n"/>
      <c r="E4" s="2" t="n"/>
      <c r="F4" s="2" t="n"/>
      <c r="G4" s="2" t="n"/>
      <c r="H4" s="2" t="n"/>
      <c r="I4" s="2" t="n"/>
    </row>
    <row r="5">
      <c r="A5" s="2" t="inlineStr">
        <is>
          <t>DevOps/SRE</t>
        </is>
      </c>
      <c r="B5" s="2" t="inlineStr">
        <is>
          <t>devops</t>
        </is>
      </c>
      <c r="C5" s="2" t="n"/>
      <c r="D5" s="2" t="n"/>
      <c r="E5" s="2" t="n"/>
      <c r="F5" s="2" t="n"/>
      <c r="G5" s="2" t="n"/>
      <c r="H5" s="2" t="n"/>
      <c r="I5" s="2" t="n"/>
    </row>
    <row r="6">
      <c r="A6" s="2" t="inlineStr">
        <is>
          <t>Senior Salesforce</t>
        </is>
      </c>
      <c r="B6" s="2" t="inlineStr">
        <is>
          <t>salesforce</t>
        </is>
      </c>
      <c r="C6" s="2" t="n"/>
      <c r="D6" s="2" t="n"/>
      <c r="E6" s="2" t="n"/>
      <c r="F6" s="2" t="n"/>
      <c r="G6" s="2" t="n"/>
      <c r="H6" s="2" t="n"/>
      <c r="I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8" customWidth="1" min="4" max="4"/>
    <col width="18" customWidth="1" min="5" max="5"/>
    <col width="35" customWidth="1" min="6" max="6"/>
    <col width="30" customWidth="1" min="7" max="7"/>
    <col width="16" customWidth="1" min="8" max="8"/>
    <col width="12" customWidth="1" min="9" max="9"/>
    <col width="12" customWidth="1" min="10" max="10"/>
    <col width="13" customWidth="1" min="11" max="11"/>
    <col width="30" customWidth="1" min="12" max="12"/>
  </cols>
  <sheetData>
    <row r="1">
      <c r="A1" s="1" t="inlineStr">
        <is>
          <t>Defect_ID</t>
        </is>
      </c>
      <c r="B1" s="1" t="inlineStr">
        <is>
          <t>Date_Opened</t>
        </is>
      </c>
      <c r="C1" s="1" t="inlineStr">
        <is>
          <t>Severity</t>
        </is>
      </c>
      <c r="D1" s="1" t="inlineStr">
        <is>
          <t>Category</t>
        </is>
      </c>
      <c r="E1" s="1" t="inlineStr">
        <is>
          <t>Question_ID_Affected</t>
        </is>
      </c>
      <c r="F1" s="1" t="inlineStr">
        <is>
          <t>Description</t>
        </is>
      </c>
      <c r="G1" s="1" t="inlineStr">
        <is>
          <t>Root_Cause</t>
        </is>
      </c>
      <c r="H1" s="1" t="inlineStr">
        <is>
          <t>Fix_Owner</t>
        </is>
      </c>
      <c r="I1" s="1" t="inlineStr">
        <is>
          <t>Fix_ETA</t>
        </is>
      </c>
      <c r="J1" s="1" t="inlineStr">
        <is>
          <t>Status</t>
        </is>
      </c>
      <c r="K1" s="1" t="inlineStr">
        <is>
          <t>Date_Closed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9" customWidth="1" min="4" max="4"/>
    <col width="11" customWidth="1" min="5" max="5"/>
    <col width="14" customWidth="1" min="6" max="6"/>
    <col width="12" customWidth="1" min="7" max="7"/>
    <col width="14" customWidth="1" min="8" max="8"/>
    <col width="18" customWidth="1" min="9" max="9"/>
    <col width="14" customWidth="1" min="10" max="10"/>
  </cols>
  <sheetData>
    <row r="1">
      <c r="A1" s="1" t="inlineStr">
        <is>
          <t>Question_ID</t>
        </is>
      </c>
      <c r="B1" s="1" t="inlineStr">
        <is>
          <t>Initial_b_AI_Prior</t>
        </is>
      </c>
      <c r="C1" s="1" t="inlineStr">
        <is>
          <t>Calibrated_b_N_30</t>
        </is>
      </c>
      <c r="D1" s="1" t="inlineStr">
        <is>
          <t>Calibrated_b_N_100</t>
        </is>
      </c>
      <c r="E1" s="1" t="inlineStr">
        <is>
          <t>Difference</t>
        </is>
      </c>
      <c r="F1" s="1" t="inlineStr">
        <is>
          <t>Discrimination_a</t>
        </is>
      </c>
      <c r="G1" s="1" t="inlineStr">
        <is>
          <t>Guessing_c</t>
        </is>
      </c>
      <c r="H1" s="1" t="inlineStr">
        <is>
          <t>DIF_Status</t>
        </is>
      </c>
      <c r="I1" s="1" t="inlineStr">
        <is>
          <t>Total_N_Responses</t>
        </is>
      </c>
      <c r="J1" s="1" t="inlineStr">
        <is>
          <t>Last_Calibrated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8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Current Month Value</t>
        </is>
      </c>
      <c r="C1" s="1" t="inlineStr">
        <is>
          <t>Target</t>
        </is>
      </c>
      <c r="D1" s="1" t="inlineStr">
        <is>
          <t>Status</t>
        </is>
      </c>
    </row>
    <row r="2">
      <c r="A2" s="2" t="inlineStr">
        <is>
          <t>Total Questions Delivered</t>
        </is>
      </c>
      <c r="B2" s="2">
        <f>SUM(Daily_Ops!C2:C32)</f>
        <v/>
      </c>
      <c r="C2" s="2" t="inlineStr">
        <is>
          <t>≥100 (M1 target)</t>
        </is>
      </c>
      <c r="D2" s="2">
        <f>IF(B2&gt;=100,"GREEN",IF(B2&gt;=50,"AMBER","RED"))</f>
        <v/>
      </c>
    </row>
    <row r="3">
      <c r="A3" s="2" t="inlineStr">
        <is>
          <t>Total Candidates Assessed</t>
        </is>
      </c>
      <c r="B3" s="2">
        <f>SUM(Daily_Ops!D2:D32)</f>
        <v/>
      </c>
      <c r="C3" s="2" t="inlineStr">
        <is>
          <t>≥100 (M3 target ramp)</t>
        </is>
      </c>
      <c r="D3" s="2">
        <f>IF(B3&gt;=100,"GREEN",IF(B3&gt;=50,"AMBER","RED"))</f>
        <v/>
      </c>
    </row>
    <row r="4">
      <c r="A4" s="2" t="inlineStr">
        <is>
          <t>Avg Candidate Score % (weighted)</t>
        </is>
      </c>
      <c r="B4" s="2">
        <f>IFERROR(SUMPRODUCT(Daily_Ops!D2:D32,Daily_Ops!E2:E32)/SUM(Daily_Ops!D2:D32),0)</f>
        <v/>
      </c>
      <c r="C4" s="2" t="inlineStr">
        <is>
          <t>30-70% (calibrated)</t>
        </is>
      </c>
      <c r="D4" s="2">
        <f>IF(AND(B4&gt;=30,B4&lt;=70),"GREEN","AMBER")</f>
        <v/>
      </c>
    </row>
    <row r="5">
      <c r="A5" s="2" t="inlineStr">
        <is>
          <t>AI Plagiarism Flagged Total</t>
        </is>
      </c>
      <c r="B5" s="2">
        <f>SUM(Daily_Ops!F2:F32)</f>
        <v/>
      </c>
      <c r="C5" s="2" t="inlineStr">
        <is>
          <t>&lt;5% of candidates</t>
        </is>
      </c>
      <c r="D5" s="2" t="inlineStr">
        <is>
          <t>manual</t>
        </is>
      </c>
    </row>
    <row r="6">
      <c r="A6" s="2" t="inlineStr">
        <is>
          <t>Anti-Cheat Flagged Total</t>
        </is>
      </c>
      <c r="B6" s="2">
        <f>SUM(Daily_Ops!G2:G32)</f>
        <v/>
      </c>
      <c r="C6" s="2" t="inlineStr">
        <is>
          <t>&lt;5% of candidates</t>
        </is>
      </c>
      <c r="D6" s="2" t="inlineStr">
        <is>
          <t>manual</t>
        </is>
      </c>
    </row>
    <row r="7">
      <c r="A7" s="2" t="inlineStr">
        <is>
          <t>P0 Defects (count this month)</t>
        </is>
      </c>
      <c r="B7" s="2">
        <f>SUM(Daily_Ops!H2:H32)</f>
        <v/>
      </c>
      <c r="C7" s="2" t="inlineStr">
        <is>
          <t>0</t>
        </is>
      </c>
      <c r="D7" s="2">
        <f>IF(B7=0,"GREEN","RED")</f>
        <v/>
      </c>
    </row>
    <row r="8">
      <c r="A8" s="2" t="inlineStr">
        <is>
          <t>P1 Defects (count this month)</t>
        </is>
      </c>
      <c r="B8" s="2">
        <f>SUM(Daily_Ops!I2:I32)</f>
        <v/>
      </c>
      <c r="C8" s="2" t="inlineStr">
        <is>
          <t>≤5</t>
        </is>
      </c>
      <c r="D8" s="2">
        <f>IF(B8&lt;=5,"GREEN",IF(B8&lt;=10,"AMBER","RED"))</f>
        <v/>
      </c>
    </row>
    <row r="9">
      <c r="A9" s="2" t="inlineStr">
        <is>
          <t>Calibrated Items (N≥30)</t>
        </is>
      </c>
      <c r="B9" s="2">
        <f>COUNTIF(Calibration_IRT!I:I,"&gt;=30")</f>
        <v/>
      </c>
      <c r="C9" s="2" t="inlineStr">
        <is>
          <t>≥80% of released items</t>
        </is>
      </c>
      <c r="D9" s="2" t="inlineStr">
        <is>
          <t>manual</t>
        </is>
      </c>
    </row>
    <row r="10">
      <c r="A10" s="2" t="inlineStr">
        <is>
          <t>Open Defects</t>
        </is>
      </c>
      <c r="B10" s="2">
        <f>COUNTIF(Defect_Log!J:J,"Open")</f>
        <v/>
      </c>
      <c r="C10" s="2" t="inlineStr">
        <is>
          <t>≤3</t>
        </is>
      </c>
      <c r="D10" s="2">
        <f>IF(B10&lt;=3,"GREEN","RED")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QOrium Customer Zero Month-1 Dashboard</t>
        </is>
      </c>
    </row>
    <row r="2">
      <c r="A2" t="inlineStr"/>
    </row>
    <row r="3">
      <c r="A3" t="inlineStr">
        <is>
          <t>Owner: SME Lead (after CC-11 hire); CTO Office until then</t>
        </is>
      </c>
    </row>
    <row r="4">
      <c r="A4" t="inlineStr">
        <is>
          <t>Cadence: daily entry in Daily_Ops sheet; weekly review at Friday Eng (J6); monthly close at first-Wed J5</t>
        </is>
      </c>
    </row>
    <row r="5">
      <c r="A5" t="inlineStr"/>
    </row>
    <row r="6">
      <c r="A6" t="inlineStr">
        <is>
          <t>How to use:</t>
        </is>
      </c>
    </row>
    <row r="7">
      <c r="A7" t="inlineStr">
        <is>
          <t>1. Daily_Ops sheet: enter actual numbers EOD. Auto-flow to Summary_Dashboard.</t>
        </is>
      </c>
    </row>
    <row r="8">
      <c r="A8" t="inlineStr">
        <is>
          <t>2. Per_Role_Metrics: populate weekly from Talpro Delivery Head feedback (per D4 Customer Zero Charter).</t>
        </is>
      </c>
    </row>
    <row r="9">
      <c r="A9" t="inlineStr">
        <is>
          <t>3. Defect_Log: log every recruiter-reported issue with severity (P0=4hr, P1=24hr, P2=7d, P3=next sprint).</t>
        </is>
      </c>
    </row>
    <row r="10">
      <c r="A10" t="inlineStr">
        <is>
          <t>4. Calibration_IRT: I/O Psych contractor populates per Reference Panel Governance v0; updates nightly via TestForge orchestrator.</t>
        </is>
      </c>
    </row>
    <row r="11">
      <c r="A11" t="inlineStr">
        <is>
          <t>5. Summary_Dashboard: review at Monday 1:1; share screenshot in Customer Zero Telegram.</t>
        </is>
      </c>
    </row>
    <row r="12">
      <c r="A12" t="inlineStr"/>
    </row>
    <row r="13">
      <c r="A13" t="inlineStr">
        <is>
          <t>References:</t>
        </is>
      </c>
    </row>
    <row r="14">
      <c r="A14" t="inlineStr">
        <is>
          <t>- D4 Customer Zero Feedback Charter (channel cadences + SLAs)</t>
        </is>
      </c>
    </row>
    <row r="15">
      <c r="A15" t="inlineStr">
        <is>
          <t>- Wave-1-Seed-Batch-100-Questions-Master.md (the question inventory)</t>
        </is>
      </c>
    </row>
    <row r="16">
      <c r="A16" t="inlineStr">
        <is>
          <t>- TestForge QA Pipeline v1 (orchestration of metrics)</t>
        </is>
      </c>
    </row>
    <row r="17">
      <c r="A17" t="inlineStr">
        <is>
          <t>- Operating Rituals v1 (J5/J6/J7 cadence)</t>
        </is>
      </c>
    </row>
    <row r="18">
      <c r="A18" t="inlineStr">
        <is>
          <t>- Quality Gate 92-pt Scorecard (release-readiness criteria)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2026-05-03T02:44:36Z</dcterms:created>
  <dcterms:modified xmlns:dcterms="http://purl.org/dc/terms/" xmlns:xsi="http://www.w3.org/2001/XMLSchema-instance" xsi:type="dcterms:W3CDTF">2026-05-03T02:44:36Z</dcterms:modified>
</cp:coreProperties>
</file>